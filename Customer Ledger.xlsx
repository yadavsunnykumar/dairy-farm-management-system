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xopy\OneDrive\Desktop\Nepal Dairy\Credit Sale\"/>
    </mc:Choice>
  </mc:AlternateContent>
  <bookViews>
    <workbookView xWindow="0" yWindow="0" windowWidth="22260" windowHeight="12648" activeTab="1"/>
  </bookViews>
  <sheets>
    <sheet name="Sheet1" sheetId="1" r:id="rId1"/>
    <sheet name="Sheet2" sheetId="4" r:id="rId2"/>
  </sheets>
  <calcPr calcId="162913"/>
</workbook>
</file>

<file path=xl/calcChain.xml><?xml version="1.0" encoding="utf-8"?>
<calcChain xmlns="http://schemas.openxmlformats.org/spreadsheetml/2006/main">
  <c r="F26" i="4" l="1"/>
  <c r="D7" i="4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H7" i="4" s="1"/>
  <c r="I7" i="4" s="1"/>
  <c r="H8" i="4" l="1"/>
  <c r="H9" i="4" s="1"/>
  <c r="I9" i="4" s="1"/>
  <c r="H10" i="4" l="1"/>
  <c r="I10" i="4" s="1"/>
  <c r="I8" i="4"/>
  <c r="H11" i="4" l="1"/>
  <c r="I11" i="4" s="1"/>
  <c r="H12" i="4" l="1"/>
  <c r="I12" i="4" s="1"/>
  <c r="H13" i="4" l="1"/>
  <c r="I13" i="4" s="1"/>
  <c r="H14" i="4" l="1"/>
  <c r="I14" i="4"/>
  <c r="H15" i="4" l="1"/>
  <c r="I15" i="4" s="1"/>
  <c r="H16" i="4" l="1"/>
  <c r="I16" i="4"/>
  <c r="H17" i="4" l="1"/>
  <c r="H18" i="4"/>
  <c r="H19" i="4"/>
  <c r="I19" i="4"/>
  <c r="H20" i="4" l="1"/>
  <c r="I20" i="4"/>
  <c r="I17" i="4"/>
  <c r="I18" i="4"/>
  <c r="H21" i="4" l="1"/>
  <c r="I21" i="4"/>
  <c r="H22" i="4" l="1"/>
  <c r="H23" i="4"/>
  <c r="H24" i="4"/>
  <c r="H25" i="4"/>
  <c r="H26" i="4" s="1"/>
  <c r="I25" i="4" l="1"/>
  <c r="I24" i="4"/>
  <c r="I22" i="4"/>
  <c r="I23" i="4"/>
</calcChain>
</file>

<file path=xl/sharedStrings.xml><?xml version="1.0" encoding="utf-8"?>
<sst xmlns="http://schemas.openxmlformats.org/spreadsheetml/2006/main" count="83" uniqueCount="46">
  <si>
    <t>Customer Index</t>
  </si>
  <si>
    <t>S.N</t>
  </si>
  <si>
    <t>Customer Name</t>
  </si>
  <si>
    <t>Mobile No</t>
  </si>
  <si>
    <t>Ramekbal Prasad Yadav</t>
  </si>
  <si>
    <t>MWG Pvt Ltd</t>
  </si>
  <si>
    <t>Name Ramekbal Prasad Yadav</t>
  </si>
  <si>
    <t xml:space="preserve">Mob </t>
  </si>
  <si>
    <t>XXXXXXX</t>
  </si>
  <si>
    <t>Address Kachorwa, Simraungadh, Bara</t>
  </si>
  <si>
    <t>Date</t>
  </si>
  <si>
    <t>Particular</t>
  </si>
  <si>
    <t>Sale Qty</t>
  </si>
  <si>
    <t>Total Litre</t>
  </si>
  <si>
    <t>Rate</t>
  </si>
  <si>
    <t>Dr Amount</t>
  </si>
  <si>
    <t>Cr Amount</t>
  </si>
  <si>
    <t>Balance</t>
  </si>
  <si>
    <t>Cr/Dr Balance</t>
  </si>
  <si>
    <t>Shift</t>
  </si>
  <si>
    <t>2081-Man-17</t>
  </si>
  <si>
    <t>Milk</t>
  </si>
  <si>
    <t>M</t>
  </si>
  <si>
    <t>E</t>
  </si>
  <si>
    <t>2081-Man-18</t>
  </si>
  <si>
    <t>2081-Man-19</t>
  </si>
  <si>
    <t>2081-Man-20</t>
  </si>
  <si>
    <t>2081-Man-21</t>
  </si>
  <si>
    <t>2081-Man-22</t>
  </si>
  <si>
    <t>2081-Man-23</t>
  </si>
  <si>
    <t>2081-Man-24</t>
  </si>
  <si>
    <t>2081-Man-25</t>
  </si>
  <si>
    <t>2081-Man-26</t>
  </si>
  <si>
    <t>2081-Man-27</t>
  </si>
  <si>
    <t>2081-Man-28</t>
  </si>
  <si>
    <t>2081-Man-29</t>
  </si>
  <si>
    <t>2081-Man-30</t>
  </si>
  <si>
    <t>2081-Pos-01</t>
  </si>
  <si>
    <t>2081-Pos-02</t>
  </si>
  <si>
    <t>2081-Pos-03</t>
  </si>
  <si>
    <t>2081-Pos-04</t>
  </si>
  <si>
    <t>2081-Pos-05</t>
  </si>
  <si>
    <t>2081-Pos-06</t>
  </si>
  <si>
    <t>2081-Pos-07</t>
  </si>
  <si>
    <t>2081-Pos-08</t>
  </si>
  <si>
    <t>2081-Pos-09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</si>
</sst>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6"/>
      <color theme="1"/>
      <name val="Calibri"/>
      <scheme val="minor"/>
    </font>
    <font>
      <b/>
      <sz val="11"/>
      <color theme="1"/>
      <name val="Calibri"/>
      <scheme val="minor"/>
    </font>
    <font>
      <b/>
      <sz val="22"/>
      <color theme="1"/>
      <name val="Calibri"/>
      <scheme val="minor"/>
    </font>
    <font>
      <u/>
      <sz val="11"/>
      <color theme="10"/>
      <name val="Calibri"/>
      <scheme val="minor"/>
    </font>
    <font>
      <sz val="22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3">
    <xf numFmtId="0" fontId="0" fillId="0" borderId="0"/>
    <xf numFmtId="0" fontId="4" fillId="0" borderId="2" applyNumberFormat="0" applyFill="0" applyBorder="0" applyAlignment="0" applyProtection="0"/>
    <xf numFmtId="0" fontId="4" fillId="0" borderId="2" applyNumberFormat="0" applyFill="0" applyBorder="0" applyAlignment="0" applyProtection="0"/>
  </cellStyleXfs>
  <cellXfs count="16">
    <xf numFmtId="0" fontId="0" fillId="0" borderId="0" xfId="0"/>
    <xf numFmtId="0" fontId="2" fillId="0" borderId="1" xfId="0" applyFont="1" applyBorder="1"/>
    <xf numFmtId="0" fontId="0" fillId="0" borderId="1" xfId="0" applyBorder="1"/>
    <xf numFmtId="0" fontId="3" fillId="2" borderId="0" xfId="0" applyFont="1" applyFill="1" applyAlignment="1">
      <alignment horizontal="center"/>
    </xf>
    <xf numFmtId="0" fontId="2" fillId="3" borderId="0" xfId="0" applyFont="1" applyFill="1"/>
    <xf numFmtId="0" fontId="0" fillId="3" borderId="0" xfId="0" applyFill="1"/>
    <xf numFmtId="0" fontId="2" fillId="4" borderId="0" xfId="0" applyFont="1" applyFill="1" applyAlignment="1">
      <alignment wrapText="1"/>
    </xf>
    <xf numFmtId="0" fontId="2" fillId="4" borderId="0" xfId="0" applyFont="1" applyFill="1"/>
    <xf numFmtId="0" fontId="4" fillId="0" borderId="2" xfId="1"/>
    <xf numFmtId="0" fontId="4" fillId="0" borderId="2" xfId="2" applyBorder="1"/>
    <xf numFmtId="0" fontId="4" fillId="0" borderId="0" xfId="2" applyBorder="1"/>
    <xf numFmtId="0" fontId="0" fillId="0" borderId="0" xfId="0" applyBorder="1"/>
    <xf numFmtId="14" fontId="0" fillId="0" borderId="1" xfId="0" applyNumberFormat="1" applyFont="1" applyBorder="1"/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5" fillId="0" borderId="0" xfId="0" applyFont="1"/>
  </cellXfs>
  <cellStyles count="3">
    <cellStyle name="Normal" xfId="0" builtinId="0"/>
    <cellStyle name="Style 1" xfId="1"/>
    <cellStyle name="Style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G33"/>
  <sheetViews>
    <sheetView workbookViewId="0">
      <selection activeCell="B7" sqref="B7"/>
    </sheetView>
  </sheetViews>
  <sheetFormatPr defaultRowHeight="14.4" x14ac:dyDescent="0.3"/>
  <cols>
    <col min="1" max="1" width="4" bestFit="1" customWidth="1"/>
    <col min="2" max="2" width="21.5546875" bestFit="1" customWidth="1"/>
    <col min="3" max="3" width="10.33203125" bestFit="1" customWidth="1"/>
  </cols>
  <sheetData>
    <row r="4" spans="1:7" x14ac:dyDescent="0.3">
      <c r="A4" s="13" t="s">
        <v>0</v>
      </c>
      <c r="B4" s="13"/>
      <c r="C4" s="13"/>
      <c r="D4" s="13"/>
      <c r="E4" s="13"/>
      <c r="F4" s="13"/>
    </row>
    <row r="5" spans="1:7" x14ac:dyDescent="0.3">
      <c r="A5" s="13"/>
      <c r="B5" s="13"/>
      <c r="C5" s="13"/>
      <c r="D5" s="13"/>
      <c r="E5" s="13"/>
      <c r="F5" s="13"/>
    </row>
    <row r="6" spans="1:7" x14ac:dyDescent="0.3">
      <c r="A6" s="1" t="s">
        <v>1</v>
      </c>
      <c r="B6" s="1" t="s">
        <v>2</v>
      </c>
      <c r="C6" s="1" t="s">
        <v>3</v>
      </c>
      <c r="D6" s="1"/>
      <c r="E6" s="1"/>
      <c r="F6" s="1"/>
      <c r="G6" s="1"/>
    </row>
    <row r="7" spans="1:7" x14ac:dyDescent="0.3">
      <c r="A7" s="2">
        <v>1</v>
      </c>
      <c r="B7" s="2" t="s">
        <v>4</v>
      </c>
      <c r="C7" s="2"/>
      <c r="D7" s="2"/>
      <c r="E7" s="2"/>
      <c r="F7" s="2"/>
      <c r="G7" s="2"/>
    </row>
    <row r="8" spans="1:7" x14ac:dyDescent="0.3">
      <c r="A8" s="2"/>
      <c r="B8" s="2"/>
      <c r="C8" s="2"/>
      <c r="D8" s="2"/>
      <c r="E8" s="2"/>
      <c r="F8" s="2"/>
      <c r="G8" s="2"/>
    </row>
    <row r="9" spans="1:7" x14ac:dyDescent="0.3">
      <c r="A9" s="2"/>
      <c r="B9" s="2"/>
      <c r="C9" s="2"/>
      <c r="D9" s="2"/>
      <c r="E9" s="2"/>
      <c r="F9" s="2"/>
      <c r="G9" s="2"/>
    </row>
    <row r="10" spans="1:7" x14ac:dyDescent="0.3">
      <c r="A10" s="2"/>
      <c r="B10" s="2"/>
      <c r="C10" s="2"/>
      <c r="D10" s="2"/>
      <c r="E10" s="2"/>
      <c r="F10" s="2"/>
      <c r="G10" s="2"/>
    </row>
    <row r="11" spans="1:7" x14ac:dyDescent="0.3">
      <c r="A11" s="2"/>
      <c r="B11" s="2"/>
      <c r="C11" s="2"/>
      <c r="D11" s="2"/>
      <c r="E11" s="2"/>
      <c r="F11" s="2"/>
      <c r="G11" s="2"/>
    </row>
    <row r="12" spans="1:7" x14ac:dyDescent="0.3">
      <c r="A12" s="2"/>
      <c r="B12" s="2"/>
      <c r="C12" s="2"/>
      <c r="D12" s="2"/>
      <c r="E12" s="2"/>
      <c r="F12" s="2"/>
      <c r="G12" s="2"/>
    </row>
    <row r="13" spans="1:7" x14ac:dyDescent="0.3">
      <c r="A13" s="2"/>
      <c r="B13" s="2"/>
      <c r="C13" s="2"/>
      <c r="D13" s="2"/>
      <c r="E13" s="2"/>
      <c r="F13" s="2"/>
      <c r="G13" s="2"/>
    </row>
    <row r="14" spans="1:7" x14ac:dyDescent="0.3">
      <c r="A14" s="2"/>
      <c r="B14" s="2"/>
      <c r="C14" s="2"/>
      <c r="D14" s="2"/>
      <c r="E14" s="2"/>
      <c r="F14" s="2"/>
      <c r="G14" s="2"/>
    </row>
    <row r="15" spans="1:7" x14ac:dyDescent="0.3">
      <c r="A15" s="2"/>
      <c r="B15" s="2"/>
      <c r="C15" s="2"/>
      <c r="D15" s="2"/>
      <c r="E15" s="2"/>
      <c r="F15" s="2"/>
      <c r="G15" s="2"/>
    </row>
    <row r="16" spans="1:7" x14ac:dyDescent="0.3">
      <c r="A16" s="2"/>
      <c r="B16" s="2"/>
      <c r="C16" s="2"/>
      <c r="D16" s="2"/>
      <c r="E16" s="2"/>
      <c r="F16" s="2"/>
      <c r="G16" s="2"/>
    </row>
    <row r="17" spans="1:7" x14ac:dyDescent="0.3">
      <c r="A17" s="2"/>
      <c r="B17" s="2"/>
      <c r="C17" s="2"/>
      <c r="D17" s="2"/>
      <c r="E17" s="2"/>
      <c r="F17" s="2"/>
      <c r="G17" s="2"/>
    </row>
    <row r="18" spans="1:7" x14ac:dyDescent="0.3">
      <c r="A18" s="2"/>
      <c r="B18" s="2"/>
      <c r="C18" s="2"/>
      <c r="D18" s="2"/>
      <c r="E18" s="2"/>
      <c r="F18" s="2"/>
      <c r="G18" s="2"/>
    </row>
    <row r="19" spans="1:7" x14ac:dyDescent="0.3">
      <c r="A19" s="2"/>
      <c r="B19" s="2"/>
      <c r="C19" s="2"/>
      <c r="D19" s="2"/>
      <c r="E19" s="2"/>
      <c r="F19" s="2"/>
      <c r="G19" s="2"/>
    </row>
    <row r="20" spans="1:7" x14ac:dyDescent="0.3">
      <c r="A20" s="2"/>
      <c r="B20" s="2"/>
      <c r="C20" s="2"/>
      <c r="D20" s="2"/>
      <c r="E20" s="2"/>
      <c r="F20" s="2"/>
      <c r="G20" s="2"/>
    </row>
    <row r="21" spans="1:7" x14ac:dyDescent="0.3">
      <c r="A21" s="2"/>
      <c r="B21" s="2"/>
      <c r="C21" s="2"/>
      <c r="D21" s="2"/>
      <c r="E21" s="2"/>
      <c r="F21" s="2"/>
      <c r="G21" s="2"/>
    </row>
    <row r="22" spans="1:7" x14ac:dyDescent="0.3">
      <c r="A22" s="2"/>
      <c r="B22" s="2"/>
      <c r="C22" s="2"/>
      <c r="D22" s="2"/>
      <c r="E22" s="2"/>
      <c r="F22" s="2"/>
      <c r="G22" s="2"/>
    </row>
    <row r="23" spans="1:7" x14ac:dyDescent="0.3">
      <c r="A23" s="2"/>
      <c r="B23" s="2"/>
      <c r="C23" s="2"/>
      <c r="D23" s="2"/>
      <c r="E23" s="2"/>
      <c r="F23" s="2"/>
      <c r="G23" s="2"/>
    </row>
    <row r="24" spans="1:7" x14ac:dyDescent="0.3">
      <c r="A24" s="2"/>
      <c r="B24" s="2"/>
      <c r="C24" s="2"/>
      <c r="D24" s="2"/>
      <c r="E24" s="2"/>
      <c r="F24" s="2"/>
      <c r="G24" s="2"/>
    </row>
    <row r="25" spans="1:7" x14ac:dyDescent="0.3">
      <c r="A25" s="2"/>
      <c r="B25" s="2"/>
      <c r="C25" s="2"/>
      <c r="D25" s="2"/>
      <c r="E25" s="2"/>
      <c r="F25" s="2"/>
      <c r="G25" s="2"/>
    </row>
    <row r="26" spans="1:7" x14ac:dyDescent="0.3">
      <c r="A26" s="2"/>
      <c r="B26" s="2"/>
      <c r="C26" s="2"/>
      <c r="D26" s="2"/>
      <c r="E26" s="2"/>
      <c r="F26" s="2"/>
      <c r="G26" s="2"/>
    </row>
    <row r="27" spans="1:7" x14ac:dyDescent="0.3">
      <c r="A27" s="2"/>
      <c r="B27" s="2"/>
      <c r="C27" s="2"/>
      <c r="D27" s="2"/>
      <c r="E27" s="2"/>
      <c r="F27" s="2"/>
      <c r="G27" s="2"/>
    </row>
    <row r="28" spans="1:7" x14ac:dyDescent="0.3">
      <c r="A28" s="2"/>
      <c r="B28" s="2"/>
      <c r="C28" s="2"/>
      <c r="D28" s="2"/>
      <c r="E28" s="2"/>
      <c r="F28" s="2"/>
      <c r="G28" s="2"/>
    </row>
    <row r="29" spans="1:7" x14ac:dyDescent="0.3">
      <c r="A29" s="2"/>
      <c r="B29" s="2"/>
      <c r="C29" s="2"/>
      <c r="D29" s="2"/>
      <c r="E29" s="2"/>
      <c r="F29" s="2"/>
      <c r="G29" s="2"/>
    </row>
    <row r="30" spans="1:7" x14ac:dyDescent="0.3">
      <c r="A30" s="2"/>
      <c r="B30" s="2"/>
      <c r="C30" s="2"/>
      <c r="D30" s="2"/>
      <c r="E30" s="2"/>
      <c r="F30" s="2"/>
      <c r="G30" s="2"/>
    </row>
    <row r="31" spans="1:7" x14ac:dyDescent="0.3">
      <c r="A31" s="2"/>
      <c r="B31" s="2"/>
      <c r="C31" s="2"/>
      <c r="D31" s="2"/>
      <c r="E31" s="2"/>
      <c r="F31" s="2"/>
      <c r="G31" s="2"/>
    </row>
    <row r="32" spans="1:7" x14ac:dyDescent="0.3">
      <c r="A32" s="2"/>
      <c r="B32" s="2"/>
      <c r="C32" s="2"/>
      <c r="D32" s="2"/>
      <c r="E32" s="2"/>
      <c r="F32" s="2"/>
      <c r="G32" s="2"/>
    </row>
    <row r="33" spans="1:7" x14ac:dyDescent="0.3">
      <c r="A33" s="2"/>
      <c r="B33" s="2"/>
      <c r="C33" s="2"/>
      <c r="D33" s="2"/>
      <c r="E33" s="2"/>
      <c r="F33" s="2"/>
      <c r="G33" s="2"/>
    </row>
  </sheetData>
  <mergeCells count="1">
    <mergeCell ref="A4:F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30"/>
  <sheetViews>
    <sheetView tabSelected="1" workbookViewId="0">
      <selection activeCell="G26" sqref="G26"/>
    </sheetView>
  </sheetViews>
  <sheetFormatPr defaultRowHeight="14.4" x14ac:dyDescent="0.3"/>
  <cols>
    <col min="1" max="1" width="13.5546875" customWidth="1"/>
    <col min="2" max="2" width="12.44140625" customWidth="1"/>
    <col min="3" max="3" width="8.33203125" bestFit="1" customWidth="1"/>
    <col min="4" max="4" width="9.88671875" bestFit="1" customWidth="1"/>
    <col min="5" max="5" width="9" customWidth="1"/>
    <col min="6" max="6" width="10.5546875" bestFit="1" customWidth="1"/>
    <col min="7" max="7" width="10.44140625" bestFit="1" customWidth="1"/>
    <col min="8" max="8" width="10.5546875" customWidth="1"/>
    <col min="9" max="9" width="14.109375" customWidth="1"/>
  </cols>
  <sheetData>
    <row r="2" spans="1:27" ht="28.8" x14ac:dyDescent="0.55000000000000004">
      <c r="B2" s="14" t="s">
        <v>5</v>
      </c>
      <c r="C2" s="14"/>
      <c r="D2" s="14"/>
      <c r="E2" s="14"/>
      <c r="F2" s="14"/>
      <c r="G2" s="14"/>
      <c r="H2" s="14"/>
      <c r="I2" s="3"/>
    </row>
    <row r="3" spans="1:27" x14ac:dyDescent="0.3">
      <c r="A3" s="4" t="s">
        <v>6</v>
      </c>
      <c r="B3" s="5"/>
      <c r="C3" s="5"/>
      <c r="D3" s="5"/>
      <c r="G3" s="6" t="s">
        <v>7</v>
      </c>
      <c r="H3" s="7" t="s">
        <v>8</v>
      </c>
      <c r="I3" s="7"/>
    </row>
    <row r="5" spans="1:27" x14ac:dyDescent="0.3">
      <c r="A5" s="4" t="s">
        <v>9</v>
      </c>
      <c r="B5" s="5"/>
      <c r="C5" s="5"/>
      <c r="D5" s="5"/>
      <c r="E5" s="5"/>
      <c r="F5" s="5"/>
      <c r="G5" s="8"/>
      <c r="H5" s="9"/>
      <c r="I5" s="10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x14ac:dyDescent="0.3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16</v>
      </c>
      <c r="H6" s="1" t="s">
        <v>17</v>
      </c>
      <c r="I6" s="1" t="s">
        <v>18</v>
      </c>
      <c r="J6" s="1" t="s">
        <v>19</v>
      </c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x14ac:dyDescent="0.3">
      <c r="A7" s="12" t="s">
        <v>20</v>
      </c>
      <c r="B7" s="2" t="s">
        <v>21</v>
      </c>
      <c r="C7" s="2">
        <v>1</v>
      </c>
      <c r="D7" s="2">
        <f>(C7)</f>
        <v>1</v>
      </c>
      <c r="E7" s="2">
        <v>100</v>
      </c>
      <c r="F7" s="2">
        <f t="shared" ref="F7:F26" si="0">(C7*E7)</f>
        <v>100</v>
      </c>
      <c r="G7" s="2"/>
      <c r="H7" s="2">
        <f>(G7-F7)</f>
        <v>-100</v>
      </c>
      <c r="I7" s="2" t="str">
        <f t="shared" ref="I7:I25" si="1">IF(H7&lt;1E-92,"Dr","Cr")</f>
        <v>Dr</v>
      </c>
      <c r="J7" s="2" t="s">
        <v>22</v>
      </c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x14ac:dyDescent="0.3">
      <c r="A8" s="12" t="s">
        <v>20</v>
      </c>
      <c r="B8" s="2" t="s">
        <v>21</v>
      </c>
      <c r="C8" s="2">
        <v>0.5</v>
      </c>
      <c r="D8" s="2">
        <f t="shared" ref="D8:D26" si="2">(D7+C8)</f>
        <v>1.5</v>
      </c>
      <c r="E8" s="2">
        <v>100</v>
      </c>
      <c r="F8" s="2">
        <f t="shared" si="0"/>
        <v>50</v>
      </c>
      <c r="G8" s="2"/>
      <c r="H8" s="2">
        <f t="shared" ref="H8:H9" si="3">(H7-F8+G8)</f>
        <v>-150</v>
      </c>
      <c r="I8" s="2" t="str">
        <f t="shared" si="1"/>
        <v>Dr</v>
      </c>
      <c r="J8" s="2" t="s">
        <v>23</v>
      </c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x14ac:dyDescent="0.3">
      <c r="A9" s="2" t="s">
        <v>24</v>
      </c>
      <c r="B9" s="2" t="s">
        <v>21</v>
      </c>
      <c r="C9" s="2">
        <v>3</v>
      </c>
      <c r="D9" s="2">
        <f t="shared" si="2"/>
        <v>4.5</v>
      </c>
      <c r="E9" s="2">
        <v>100</v>
      </c>
      <c r="F9" s="2">
        <f t="shared" si="0"/>
        <v>300</v>
      </c>
      <c r="G9" s="2"/>
      <c r="H9" s="2">
        <f t="shared" si="3"/>
        <v>-450</v>
      </c>
      <c r="I9" s="2" t="str">
        <f t="shared" si="1"/>
        <v>Dr</v>
      </c>
      <c r="J9" s="2" t="s">
        <v>23</v>
      </c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x14ac:dyDescent="0.3">
      <c r="A10" s="2" t="s">
        <v>25</v>
      </c>
      <c r="B10" s="2" t="s">
        <v>21</v>
      </c>
      <c r="C10" s="2">
        <v>1</v>
      </c>
      <c r="D10" s="2">
        <f t="shared" si="2"/>
        <v>5.5</v>
      </c>
      <c r="E10" s="2">
        <v>100</v>
      </c>
      <c r="F10" s="2">
        <f t="shared" si="0"/>
        <v>100</v>
      </c>
      <c r="G10" s="2"/>
      <c r="H10" s="2">
        <f t="shared" ref="H10:H26" si="4">(H9-F10+G10)</f>
        <v>-550</v>
      </c>
      <c r="I10" s="2" t="str">
        <f t="shared" si="1"/>
        <v>Dr</v>
      </c>
      <c r="J10" s="2" t="s">
        <v>23</v>
      </c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x14ac:dyDescent="0.3">
      <c r="A11" s="2" t="s">
        <v>26</v>
      </c>
      <c r="B11" s="2" t="s">
        <v>21</v>
      </c>
      <c r="C11" s="2">
        <v>1</v>
      </c>
      <c r="D11" s="2">
        <f t="shared" si="2"/>
        <v>6.5</v>
      </c>
      <c r="E11" s="2">
        <v>100</v>
      </c>
      <c r="F11" s="2">
        <f t="shared" si="0"/>
        <v>100</v>
      </c>
      <c r="G11" s="2"/>
      <c r="H11" s="2">
        <f t="shared" si="4"/>
        <v>-650</v>
      </c>
      <c r="I11" s="2" t="str">
        <f t="shared" si="1"/>
        <v>Dr</v>
      </c>
      <c r="J11" s="2" t="s">
        <v>23</v>
      </c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x14ac:dyDescent="0.3">
      <c r="A12" s="2" t="s">
        <v>27</v>
      </c>
      <c r="B12" s="2" t="s">
        <v>21</v>
      </c>
      <c r="C12" s="2">
        <v>1</v>
      </c>
      <c r="D12" s="2">
        <f t="shared" si="2"/>
        <v>7.5</v>
      </c>
      <c r="E12" s="2">
        <v>100</v>
      </c>
      <c r="F12" s="2">
        <f t="shared" si="0"/>
        <v>100</v>
      </c>
      <c r="G12" s="2"/>
      <c r="H12" s="2">
        <f t="shared" si="4"/>
        <v>-750</v>
      </c>
      <c r="I12" s="2" t="str">
        <f t="shared" si="1"/>
        <v>Dr</v>
      </c>
      <c r="J12" s="2" t="s">
        <v>23</v>
      </c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x14ac:dyDescent="0.3">
      <c r="A13" s="2" t="s">
        <v>28</v>
      </c>
      <c r="B13" s="2" t="s">
        <v>21</v>
      </c>
      <c r="C13" s="2">
        <v>1</v>
      </c>
      <c r="D13" s="2">
        <f t="shared" si="2"/>
        <v>8.5</v>
      </c>
      <c r="E13" s="2">
        <v>100</v>
      </c>
      <c r="F13" s="2">
        <f t="shared" si="0"/>
        <v>100</v>
      </c>
      <c r="G13" s="2"/>
      <c r="H13" s="2">
        <f t="shared" si="4"/>
        <v>-850</v>
      </c>
      <c r="I13" s="2" t="str">
        <f t="shared" si="1"/>
        <v>Dr</v>
      </c>
      <c r="J13" s="2" t="s">
        <v>23</v>
      </c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x14ac:dyDescent="0.3">
      <c r="A14" s="2" t="s">
        <v>29</v>
      </c>
      <c r="B14" s="2" t="s">
        <v>21</v>
      </c>
      <c r="C14" s="2">
        <v>1</v>
      </c>
      <c r="D14" s="2">
        <f t="shared" si="2"/>
        <v>9.5</v>
      </c>
      <c r="E14" s="2">
        <v>100</v>
      </c>
      <c r="F14" s="2">
        <f t="shared" si="0"/>
        <v>100</v>
      </c>
      <c r="G14" s="2"/>
      <c r="H14" s="2">
        <f t="shared" si="4"/>
        <v>-950</v>
      </c>
      <c r="I14" s="2" t="str">
        <f t="shared" si="1"/>
        <v>Dr</v>
      </c>
      <c r="J14" s="2" t="s">
        <v>23</v>
      </c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x14ac:dyDescent="0.3">
      <c r="A15" s="2" t="s">
        <v>30</v>
      </c>
      <c r="B15" s="2" t="s">
        <v>21</v>
      </c>
      <c r="C15" s="2">
        <v>1</v>
      </c>
      <c r="D15" s="2">
        <f t="shared" si="2"/>
        <v>10.5</v>
      </c>
      <c r="E15" s="2">
        <v>100</v>
      </c>
      <c r="F15" s="2">
        <f t="shared" si="0"/>
        <v>100</v>
      </c>
      <c r="G15" s="2"/>
      <c r="H15" s="2">
        <f t="shared" si="4"/>
        <v>-1050</v>
      </c>
      <c r="I15" s="2" t="str">
        <f t="shared" si="1"/>
        <v>Dr</v>
      </c>
      <c r="J15" s="2" t="s">
        <v>23</v>
      </c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x14ac:dyDescent="0.3">
      <c r="A16" s="2" t="s">
        <v>31</v>
      </c>
      <c r="B16" s="2" t="s">
        <v>21</v>
      </c>
      <c r="C16" s="2">
        <v>1</v>
      </c>
      <c r="D16" s="2">
        <f t="shared" si="2"/>
        <v>11.5</v>
      </c>
      <c r="E16" s="2">
        <v>100</v>
      </c>
      <c r="F16" s="2">
        <f t="shared" si="0"/>
        <v>100</v>
      </c>
      <c r="G16" s="2"/>
      <c r="H16" s="2">
        <f t="shared" si="4"/>
        <v>-1150</v>
      </c>
      <c r="I16" s="2" t="str">
        <f t="shared" si="1"/>
        <v>Dr</v>
      </c>
      <c r="J16" s="2" t="s">
        <v>23</v>
      </c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x14ac:dyDescent="0.3">
      <c r="A17" s="2" t="s">
        <v>32</v>
      </c>
      <c r="B17" s="2" t="s">
        <v>21</v>
      </c>
      <c r="C17" s="2">
        <v>1</v>
      </c>
      <c r="D17" s="2">
        <f t="shared" si="2"/>
        <v>12.5</v>
      </c>
      <c r="E17" s="2">
        <v>100</v>
      </c>
      <c r="F17" s="2">
        <f t="shared" si="0"/>
        <v>100</v>
      </c>
      <c r="G17" s="2"/>
      <c r="H17" s="2">
        <f t="shared" si="4"/>
        <v>-1250</v>
      </c>
      <c r="I17" s="2" t="str">
        <f t="shared" si="1"/>
        <v>Dr</v>
      </c>
      <c r="J17" s="2" t="s">
        <v>23</v>
      </c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x14ac:dyDescent="0.3">
      <c r="A18" s="2" t="s">
        <v>33</v>
      </c>
      <c r="B18" s="2" t="s">
        <v>21</v>
      </c>
      <c r="C18" s="2">
        <v>1</v>
      </c>
      <c r="D18" s="2">
        <f t="shared" si="2"/>
        <v>13.5</v>
      </c>
      <c r="E18" s="2">
        <v>100</v>
      </c>
      <c r="F18" s="2">
        <f t="shared" si="0"/>
        <v>100</v>
      </c>
      <c r="G18" s="2"/>
      <c r="H18" s="2">
        <f t="shared" si="4"/>
        <v>-1350</v>
      </c>
      <c r="I18" s="2" t="str">
        <f t="shared" si="1"/>
        <v>Dr</v>
      </c>
      <c r="J18" s="2" t="s">
        <v>23</v>
      </c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x14ac:dyDescent="0.3">
      <c r="A19" s="2" t="s">
        <v>34</v>
      </c>
      <c r="B19" s="2" t="s">
        <v>21</v>
      </c>
      <c r="C19" s="2">
        <v>1</v>
      </c>
      <c r="D19" s="2">
        <f t="shared" si="2"/>
        <v>14.5</v>
      </c>
      <c r="E19" s="2">
        <v>100</v>
      </c>
      <c r="F19" s="2">
        <f t="shared" si="0"/>
        <v>100</v>
      </c>
      <c r="G19" s="2"/>
      <c r="H19" s="2">
        <f t="shared" si="4"/>
        <v>-1450</v>
      </c>
      <c r="I19" s="2" t="str">
        <f t="shared" si="1"/>
        <v>Dr</v>
      </c>
      <c r="J19" s="2" t="s">
        <v>23</v>
      </c>
    </row>
    <row r="20" spans="1:27" x14ac:dyDescent="0.3">
      <c r="A20" s="2" t="s">
        <v>35</v>
      </c>
      <c r="B20" s="2" t="s">
        <v>21</v>
      </c>
      <c r="C20" s="2">
        <v>1</v>
      </c>
      <c r="D20" s="2">
        <f t="shared" si="2"/>
        <v>15.5</v>
      </c>
      <c r="E20" s="2">
        <v>100</v>
      </c>
      <c r="F20" s="2">
        <f t="shared" si="0"/>
        <v>100</v>
      </c>
      <c r="G20" s="2"/>
      <c r="H20" s="2">
        <f t="shared" si="4"/>
        <v>-1550</v>
      </c>
      <c r="I20" s="2" t="str">
        <f t="shared" si="1"/>
        <v>Dr</v>
      </c>
      <c r="J20" s="2" t="s">
        <v>23</v>
      </c>
    </row>
    <row r="21" spans="1:27" x14ac:dyDescent="0.3">
      <c r="A21" s="2" t="s">
        <v>36</v>
      </c>
      <c r="B21" s="2" t="s">
        <v>21</v>
      </c>
      <c r="C21" s="2">
        <v>1</v>
      </c>
      <c r="D21" s="2">
        <f t="shared" si="2"/>
        <v>16.5</v>
      </c>
      <c r="E21" s="2">
        <v>100</v>
      </c>
      <c r="F21" s="2">
        <f t="shared" si="0"/>
        <v>100</v>
      </c>
      <c r="G21" s="2"/>
      <c r="H21" s="2">
        <f t="shared" si="4"/>
        <v>-1650</v>
      </c>
      <c r="I21" s="2" t="str">
        <f t="shared" si="1"/>
        <v>Dr</v>
      </c>
      <c r="J21" s="2" t="s">
        <v>23</v>
      </c>
    </row>
    <row r="22" spans="1:27" x14ac:dyDescent="0.3">
      <c r="A22" s="2" t="s">
        <v>37</v>
      </c>
      <c r="B22" s="2" t="s">
        <v>21</v>
      </c>
      <c r="C22" s="2">
        <v>1</v>
      </c>
      <c r="D22" s="2">
        <f t="shared" si="2"/>
        <v>17.5</v>
      </c>
      <c r="E22" s="2">
        <v>100</v>
      </c>
      <c r="F22" s="2">
        <f t="shared" si="0"/>
        <v>100</v>
      </c>
      <c r="G22" s="2"/>
      <c r="H22" s="2">
        <f t="shared" si="4"/>
        <v>-1750</v>
      </c>
      <c r="I22" s="2" t="str">
        <f t="shared" si="1"/>
        <v>Dr</v>
      </c>
      <c r="J22" s="2" t="s">
        <v>23</v>
      </c>
    </row>
    <row r="23" spans="1:27" x14ac:dyDescent="0.3">
      <c r="A23" s="2" t="s">
        <v>38</v>
      </c>
      <c r="B23" s="2" t="s">
        <v>21</v>
      </c>
      <c r="C23" s="2">
        <v>1</v>
      </c>
      <c r="D23" s="2">
        <f t="shared" si="2"/>
        <v>18.5</v>
      </c>
      <c r="E23" s="2">
        <v>100</v>
      </c>
      <c r="F23" s="2">
        <f t="shared" si="0"/>
        <v>100</v>
      </c>
      <c r="G23" s="2"/>
      <c r="H23" s="2">
        <f t="shared" si="4"/>
        <v>-1850</v>
      </c>
      <c r="I23" s="2" t="str">
        <f t="shared" si="1"/>
        <v>Dr</v>
      </c>
      <c r="J23" s="2" t="s">
        <v>23</v>
      </c>
    </row>
    <row r="24" spans="1:27" ht="14.25" customHeight="1" x14ac:dyDescent="0.55000000000000004">
      <c r="A24" s="2" t="s">
        <v>39</v>
      </c>
      <c r="B24" s="2" t="s">
        <v>21</v>
      </c>
      <c r="C24" s="2">
        <v>1</v>
      </c>
      <c r="D24" s="2">
        <f t="shared" si="2"/>
        <v>19.5</v>
      </c>
      <c r="E24" s="2">
        <v>100</v>
      </c>
      <c r="F24" s="2">
        <f t="shared" si="0"/>
        <v>100</v>
      </c>
      <c r="G24" s="2"/>
      <c r="H24" s="2">
        <f t="shared" si="4"/>
        <v>-1950</v>
      </c>
      <c r="I24" s="2" t="str">
        <f t="shared" si="1"/>
        <v>Dr</v>
      </c>
      <c r="J24" s="2" t="s">
        <v>23</v>
      </c>
      <c r="U24" s="15"/>
      <c r="V24" s="15"/>
      <c r="W24" s="15"/>
    </row>
    <row r="25" spans="1:27" x14ac:dyDescent="0.3">
      <c r="A25" s="2" t="s">
        <v>40</v>
      </c>
      <c r="B25" s="2" t="s">
        <v>21</v>
      </c>
      <c r="C25" s="2">
        <v>1</v>
      </c>
      <c r="D25" s="2">
        <f t="shared" si="2"/>
        <v>20.5</v>
      </c>
      <c r="E25" s="2">
        <v>90</v>
      </c>
      <c r="F25" s="2">
        <f t="shared" si="0"/>
        <v>90</v>
      </c>
      <c r="G25" s="2">
        <v>1400</v>
      </c>
      <c r="H25" s="2">
        <f t="shared" si="4"/>
        <v>-640</v>
      </c>
      <c r="I25" s="2" t="str">
        <f t="shared" si="1"/>
        <v>Dr</v>
      </c>
      <c r="J25" s="2" t="s">
        <v>23</v>
      </c>
    </row>
    <row r="26" spans="1:27" x14ac:dyDescent="0.3">
      <c r="A26" s="2" t="s">
        <v>41</v>
      </c>
      <c r="B26" s="2" t="s">
        <v>21</v>
      </c>
      <c r="C26" s="2">
        <v>1</v>
      </c>
      <c r="D26" s="2">
        <f t="shared" si="2"/>
        <v>21.5</v>
      </c>
      <c r="E26" s="2">
        <v>90</v>
      </c>
      <c r="F26" s="2">
        <f t="shared" si="0"/>
        <v>90</v>
      </c>
      <c r="G26" s="2"/>
      <c r="H26" s="2">
        <f t="shared" si="4"/>
        <v>-730</v>
      </c>
      <c r="I26" s="2"/>
      <c r="J26" s="2"/>
    </row>
    <row r="27" spans="1:27" x14ac:dyDescent="0.3">
      <c r="A27" s="2" t="s">
        <v>42</v>
      </c>
      <c r="B27" s="2"/>
      <c r="C27" s="2">
        <v>1</v>
      </c>
      <c r="D27" s="2"/>
      <c r="E27" s="2"/>
      <c r="F27" s="2"/>
      <c r="G27" s="2"/>
      <c r="H27" s="2"/>
      <c r="I27" s="2"/>
      <c r="J27" s="2"/>
    </row>
    <row r="28" spans="1:27" x14ac:dyDescent="0.3">
      <c r="A28" s="2" t="s">
        <v>43</v>
      </c>
      <c r="B28" s="2"/>
      <c r="C28" s="2">
        <v>1</v>
      </c>
      <c r="D28" s="2"/>
      <c r="E28" s="2"/>
      <c r="F28" s="2"/>
      <c r="G28" s="2"/>
      <c r="H28" s="2"/>
      <c r="I28" s="2"/>
      <c r="J28" s="2"/>
    </row>
    <row r="29" spans="1:27" x14ac:dyDescent="0.3">
      <c r="A29" s="2" t="s">
        <v>44</v>
      </c>
      <c r="B29" s="2"/>
      <c r="C29" s="2"/>
      <c r="D29" s="2"/>
      <c r="E29" s="2"/>
      <c r="F29" s="2"/>
      <c r="G29" s="2"/>
      <c r="H29" s="2"/>
      <c r="I29" s="2"/>
      <c r="J29" s="2"/>
    </row>
    <row r="30" spans="1:27" x14ac:dyDescent="0.3">
      <c r="A30" s="2" t="s">
        <v>45</v>
      </c>
      <c r="B30" s="2"/>
      <c r="C30" s="2"/>
      <c r="D30" s="2"/>
      <c r="E30" s="2"/>
      <c r="F30" s="2"/>
      <c r="G30" s="2"/>
      <c r="H30" s="2"/>
      <c r="I30" s="2"/>
      <c r="J30" s="2"/>
    </row>
  </sheetData>
  <mergeCells count="2">
    <mergeCell ref="B2:H2"/>
    <mergeCell ref="U24:W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Yadav</dc:creator>
  <cp:lastModifiedBy>Krishna Yadav</cp:lastModifiedBy>
  <dcterms:created xsi:type="dcterms:W3CDTF">2015-06-05T18:17:20Z</dcterms:created>
  <dcterms:modified xsi:type="dcterms:W3CDTF">2024-12-24T15:15:20Z</dcterms:modified>
</cp:coreProperties>
</file>