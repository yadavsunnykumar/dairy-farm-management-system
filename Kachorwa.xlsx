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xopy\OneDrive\Desktop\Nepal Dairy\Baswariya\"/>
    </mc:Choice>
  </mc:AlternateContent>
  <bookViews>
    <workbookView xWindow="0" yWindow="0" windowWidth="23040" windowHeight="8988" activeTab="2"/>
  </bookViews>
  <sheets>
    <sheet name="Detail" sheetId="1" r:id="rId1"/>
    <sheet name="Customer Index" sheetId="2" r:id="rId2"/>
    <sheet name="Kac001" sheetId="45" r:id="rId3"/>
    <sheet name="Kac01" sheetId="47" r:id="rId4"/>
    <sheet name="Kac02" sheetId="48" r:id="rId5"/>
  </sheets>
  <calcPr calcId="162913"/>
</workbook>
</file>

<file path=xl/calcChain.xml><?xml version="1.0" encoding="utf-8"?>
<calcChain xmlns="http://schemas.openxmlformats.org/spreadsheetml/2006/main">
  <c r="I10" i="45" l="1"/>
  <c r="I11" i="45"/>
  <c r="I12" i="45"/>
  <c r="I13" i="45"/>
  <c r="I14" i="45"/>
  <c r="I15" i="45"/>
  <c r="I16" i="45"/>
  <c r="I17" i="45"/>
  <c r="J17" i="45" s="1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J40" i="45" s="1"/>
  <c r="I41" i="45"/>
  <c r="I42" i="45"/>
  <c r="I43" i="45"/>
  <c r="I44" i="45"/>
  <c r="I45" i="45"/>
  <c r="I46" i="45"/>
  <c r="I47" i="45"/>
  <c r="I48" i="45"/>
  <c r="J48" i="45" s="1"/>
  <c r="I49" i="45"/>
  <c r="J49" i="45" s="1"/>
  <c r="I50" i="45"/>
  <c r="I51" i="45"/>
  <c r="I52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J31" i="45" s="1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9" i="45"/>
  <c r="I9" i="45"/>
  <c r="J34" i="45"/>
  <c r="J50" i="45"/>
  <c r="J39" i="45"/>
  <c r="J32" i="45"/>
  <c r="J18" i="45"/>
  <c r="J16" i="45"/>
  <c r="I45" i="47"/>
  <c r="I54" i="48"/>
  <c r="I55" i="48"/>
  <c r="I56" i="48"/>
  <c r="I57" i="48"/>
  <c r="I58" i="48"/>
  <c r="I59" i="48"/>
  <c r="I60" i="48"/>
  <c r="I61" i="48"/>
  <c r="J61" i="48" s="1"/>
  <c r="I62" i="48"/>
  <c r="I63" i="48"/>
  <c r="I64" i="48"/>
  <c r="I65" i="48"/>
  <c r="J65" i="48" s="1"/>
  <c r="I66" i="48"/>
  <c r="J66" i="48" s="1"/>
  <c r="I67" i="48"/>
  <c r="I68" i="48"/>
  <c r="I69" i="48"/>
  <c r="I70" i="48"/>
  <c r="I71" i="48"/>
  <c r="J71" i="48" s="1"/>
  <c r="I72" i="48"/>
  <c r="J72" i="48" s="1"/>
  <c r="I73" i="48"/>
  <c r="I74" i="48"/>
  <c r="I75" i="48"/>
  <c r="I76" i="48"/>
  <c r="I77" i="48"/>
  <c r="J77" i="48" s="1"/>
  <c r="E54" i="48"/>
  <c r="E55" i="48"/>
  <c r="E56" i="48"/>
  <c r="E57" i="48"/>
  <c r="E58" i="48"/>
  <c r="J58" i="48" s="1"/>
  <c r="E59" i="48"/>
  <c r="J59" i="48" s="1"/>
  <c r="E60" i="48"/>
  <c r="J60" i="48" s="1"/>
  <c r="E61" i="48"/>
  <c r="E62" i="48"/>
  <c r="J62" i="48" s="1"/>
  <c r="E63" i="48"/>
  <c r="E64" i="48"/>
  <c r="E65" i="48"/>
  <c r="E66" i="48"/>
  <c r="E67" i="48"/>
  <c r="E68" i="48"/>
  <c r="J68" i="48" s="1"/>
  <c r="E69" i="48"/>
  <c r="E70" i="48"/>
  <c r="E71" i="48"/>
  <c r="E72" i="48"/>
  <c r="E73" i="48"/>
  <c r="J73" i="48" s="1"/>
  <c r="E74" i="48"/>
  <c r="J74" i="48" s="1"/>
  <c r="E75" i="48"/>
  <c r="J75" i="48" s="1"/>
  <c r="E76" i="48"/>
  <c r="J76" i="48" s="1"/>
  <c r="E77" i="48"/>
  <c r="J70" i="48"/>
  <c r="J69" i="48"/>
  <c r="J67" i="48"/>
  <c r="J57" i="48"/>
  <c r="J56" i="48"/>
  <c r="J55" i="48"/>
  <c r="J54" i="48"/>
  <c r="J36" i="47"/>
  <c r="J69" i="47"/>
  <c r="I36" i="47"/>
  <c r="I37" i="47"/>
  <c r="I38" i="47"/>
  <c r="I39" i="47"/>
  <c r="I40" i="47"/>
  <c r="I41" i="47"/>
  <c r="I42" i="47"/>
  <c r="I43" i="47"/>
  <c r="I44" i="47"/>
  <c r="I46" i="47"/>
  <c r="I47" i="47"/>
  <c r="I48" i="47"/>
  <c r="I49" i="47"/>
  <c r="I50" i="47"/>
  <c r="I51" i="47"/>
  <c r="I52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J67" i="47" s="1"/>
  <c r="I68" i="47"/>
  <c r="J68" i="47" s="1"/>
  <c r="I69" i="47"/>
  <c r="I70" i="47"/>
  <c r="J70" i="47" s="1"/>
  <c r="I71" i="47"/>
  <c r="J71" i="47" s="1"/>
  <c r="I72" i="47"/>
  <c r="J72" i="47" s="1"/>
  <c r="I73" i="47"/>
  <c r="J73" i="47" s="1"/>
  <c r="I74" i="47"/>
  <c r="J74" i="47" s="1"/>
  <c r="I75" i="47"/>
  <c r="J75" i="47" s="1"/>
  <c r="I76" i="47"/>
  <c r="J76" i="47" s="1"/>
  <c r="I77" i="47"/>
  <c r="J77" i="47" s="1"/>
  <c r="E36" i="47"/>
  <c r="E32" i="47"/>
  <c r="J36" i="45" l="1"/>
  <c r="J35" i="45"/>
  <c r="J9" i="45"/>
  <c r="P9" i="45" s="1"/>
  <c r="J10" i="45"/>
  <c r="J22" i="45"/>
  <c r="J38" i="45"/>
  <c r="J20" i="45"/>
  <c r="J51" i="45"/>
  <c r="J19" i="45"/>
  <c r="J33" i="45"/>
  <c r="J26" i="45"/>
  <c r="J41" i="45"/>
  <c r="J24" i="45"/>
  <c r="J23" i="45"/>
  <c r="J52" i="45"/>
  <c r="J27" i="45"/>
  <c r="J42" i="45"/>
  <c r="J15" i="45"/>
  <c r="J45" i="45"/>
  <c r="J44" i="45"/>
  <c r="J28" i="45"/>
  <c r="J12" i="45"/>
  <c r="J43" i="45"/>
  <c r="J11" i="45"/>
  <c r="J13" i="45"/>
  <c r="J25" i="45"/>
  <c r="J37" i="45"/>
  <c r="J21" i="45"/>
  <c r="J29" i="45"/>
  <c r="J14" i="45"/>
  <c r="J46" i="45"/>
  <c r="J47" i="45"/>
  <c r="J30" i="45"/>
  <c r="J64" i="48"/>
  <c r="J63" i="48"/>
  <c r="J27" i="47"/>
  <c r="J28" i="47"/>
  <c r="J29" i="47"/>
  <c r="E77" i="47"/>
  <c r="E76" i="47"/>
  <c r="E75" i="47"/>
  <c r="E74" i="47"/>
  <c r="E73" i="47"/>
  <c r="E72" i="47"/>
  <c r="E71" i="47"/>
  <c r="E70" i="47"/>
  <c r="E69" i="47"/>
  <c r="E68" i="47"/>
  <c r="E67" i="47"/>
  <c r="E66" i="47"/>
  <c r="J66" i="47" s="1"/>
  <c r="E65" i="47"/>
  <c r="J65" i="47" s="1"/>
  <c r="E64" i="47"/>
  <c r="J64" i="47" s="1"/>
  <c r="E63" i="47"/>
  <c r="J63" i="47" s="1"/>
  <c r="E62" i="47"/>
  <c r="J62" i="47" s="1"/>
  <c r="E61" i="47"/>
  <c r="J61" i="47" s="1"/>
  <c r="E60" i="47"/>
  <c r="J60" i="47" s="1"/>
  <c r="E59" i="47"/>
  <c r="J59" i="47" s="1"/>
  <c r="E58" i="47"/>
  <c r="J58" i="47" s="1"/>
  <c r="E57" i="47"/>
  <c r="J57" i="47" s="1"/>
  <c r="E56" i="47"/>
  <c r="J56" i="47" s="1"/>
  <c r="E55" i="47"/>
  <c r="J55" i="47" s="1"/>
  <c r="E54" i="47"/>
  <c r="J54" i="47" s="1"/>
  <c r="E53" i="47"/>
  <c r="J53" i="47" s="1"/>
  <c r="E52" i="47"/>
  <c r="J52" i="47" s="1"/>
  <c r="E51" i="47"/>
  <c r="J51" i="47" s="1"/>
  <c r="E50" i="47"/>
  <c r="J50" i="47" s="1"/>
  <c r="E49" i="47"/>
  <c r="J49" i="47" s="1"/>
  <c r="E48" i="47"/>
  <c r="J48" i="47" s="1"/>
  <c r="E47" i="47"/>
  <c r="J47" i="47" s="1"/>
  <c r="E46" i="47"/>
  <c r="J46" i="47" s="1"/>
  <c r="E45" i="47"/>
  <c r="J45" i="47" s="1"/>
  <c r="E44" i="47"/>
  <c r="J44" i="47" s="1"/>
  <c r="E43" i="47"/>
  <c r="J43" i="47" s="1"/>
  <c r="E42" i="47"/>
  <c r="J42" i="47" s="1"/>
  <c r="E41" i="47"/>
  <c r="J41" i="47" s="1"/>
  <c r="E40" i="47"/>
  <c r="J40" i="47" s="1"/>
  <c r="E39" i="47"/>
  <c r="J39" i="47" s="1"/>
  <c r="E38" i="47"/>
  <c r="J38" i="47" s="1"/>
  <c r="E28" i="47"/>
  <c r="E29" i="47"/>
  <c r="E30" i="47"/>
  <c r="J30" i="47" s="1"/>
  <c r="E31" i="47"/>
  <c r="E33" i="47"/>
  <c r="E34" i="47"/>
  <c r="J34" i="47" s="1"/>
  <c r="E35" i="47"/>
  <c r="E37" i="47"/>
  <c r="J37" i="47" s="1"/>
  <c r="I27" i="47"/>
  <c r="I28" i="47"/>
  <c r="I29" i="47"/>
  <c r="I30" i="47"/>
  <c r="I31" i="47"/>
  <c r="I32" i="47"/>
  <c r="J32" i="47" s="1"/>
  <c r="I33" i="47"/>
  <c r="I34" i="47"/>
  <c r="I35" i="47"/>
  <c r="E27" i="47"/>
  <c r="I26" i="47"/>
  <c r="E26" i="47"/>
  <c r="J26" i="47" s="1"/>
  <c r="I25" i="47"/>
  <c r="E25" i="47"/>
  <c r="J25" i="47" s="1"/>
  <c r="I24" i="47"/>
  <c r="E24" i="47"/>
  <c r="J24" i="47" s="1"/>
  <c r="I23" i="47"/>
  <c r="E23" i="47"/>
  <c r="I22" i="47"/>
  <c r="E22" i="47"/>
  <c r="I21" i="47"/>
  <c r="E21" i="47"/>
  <c r="J21" i="47" s="1"/>
  <c r="I20" i="47"/>
  <c r="E20" i="47"/>
  <c r="I19" i="47"/>
  <c r="E19" i="47"/>
  <c r="J19" i="47" s="1"/>
  <c r="I18" i="47"/>
  <c r="E18" i="47"/>
  <c r="J18" i="47" s="1"/>
  <c r="I17" i="47"/>
  <c r="E17" i="47"/>
  <c r="J17" i="47" s="1"/>
  <c r="I16" i="47"/>
  <c r="E16" i="47"/>
  <c r="J16" i="47" s="1"/>
  <c r="I15" i="47"/>
  <c r="E15" i="47"/>
  <c r="I14" i="47"/>
  <c r="E14" i="47"/>
  <c r="I13" i="47"/>
  <c r="E13" i="47"/>
  <c r="J13" i="47" s="1"/>
  <c r="I12" i="47"/>
  <c r="E12" i="47"/>
  <c r="I11" i="47"/>
  <c r="E11" i="47"/>
  <c r="J11" i="47" s="1"/>
  <c r="I10" i="47"/>
  <c r="E10" i="47"/>
  <c r="J10" i="47" s="1"/>
  <c r="J31" i="47" l="1"/>
  <c r="J22" i="47"/>
  <c r="J12" i="47"/>
  <c r="J20" i="47"/>
  <c r="J15" i="47"/>
  <c r="J23" i="47"/>
  <c r="J35" i="47"/>
  <c r="J33" i="47"/>
  <c r="J14" i="47"/>
  <c r="P10" i="45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O9" i="45"/>
  <c r="P25" i="45" l="1"/>
  <c r="Q24" i="45"/>
  <c r="O10" i="45"/>
  <c r="Q9" i="45"/>
  <c r="P26" i="45" l="1"/>
  <c r="Q25" i="45"/>
  <c r="Q10" i="45"/>
  <c r="O11" i="45"/>
  <c r="P27" i="45" l="1"/>
  <c r="Q26" i="45"/>
  <c r="Q11" i="45"/>
  <c r="O12" i="45"/>
  <c r="P28" i="45" l="1"/>
  <c r="Q27" i="45"/>
  <c r="Q12" i="45"/>
  <c r="O13" i="45"/>
  <c r="P29" i="45" l="1"/>
  <c r="Q28" i="45"/>
  <c r="Q13" i="45"/>
  <c r="O14" i="45"/>
  <c r="P30" i="45" l="1"/>
  <c r="Q29" i="45"/>
  <c r="Q14" i="45"/>
  <c r="O15" i="45"/>
  <c r="P31" i="45" l="1"/>
  <c r="Q30" i="45"/>
  <c r="O16" i="45"/>
  <c r="Q15" i="45"/>
  <c r="P32" i="45" l="1"/>
  <c r="Q31" i="45"/>
  <c r="Q16" i="45"/>
  <c r="O17" i="45"/>
  <c r="P33" i="45" l="1"/>
  <c r="Q32" i="45"/>
  <c r="Q17" i="45"/>
  <c r="O18" i="45"/>
  <c r="P34" i="45" l="1"/>
  <c r="Q33" i="45"/>
  <c r="Q18" i="45"/>
  <c r="O19" i="45"/>
  <c r="P35" i="45" l="1"/>
  <c r="Q34" i="45"/>
  <c r="Q19" i="45"/>
  <c r="O20" i="45"/>
  <c r="P36" i="45" l="1"/>
  <c r="Q35" i="45"/>
  <c r="O21" i="45"/>
  <c r="Q20" i="45"/>
  <c r="P37" i="45" l="1"/>
  <c r="Q36" i="45"/>
  <c r="O22" i="45"/>
  <c r="Q21" i="45"/>
  <c r="P38" i="45" l="1"/>
  <c r="Q37" i="45"/>
  <c r="Q22" i="45"/>
  <c r="O23" i="45"/>
  <c r="P39" i="45" l="1"/>
  <c r="Q38" i="45"/>
  <c r="Q23" i="45"/>
  <c r="O24" i="45"/>
  <c r="P40" i="45" l="1"/>
  <c r="Q39" i="45"/>
  <c r="O25" i="45"/>
  <c r="P41" i="45" l="1"/>
  <c r="Q40" i="45"/>
  <c r="O26" i="45"/>
  <c r="P42" i="45" l="1"/>
  <c r="Q41" i="45"/>
  <c r="O27" i="45"/>
  <c r="P43" i="45" l="1"/>
  <c r="Q42" i="45"/>
  <c r="O28" i="45"/>
  <c r="Q43" i="45" l="1"/>
  <c r="P44" i="45"/>
  <c r="O29" i="45"/>
  <c r="Q44" i="45" l="1"/>
  <c r="P45" i="45"/>
  <c r="O30" i="45"/>
  <c r="Q45" i="45" l="1"/>
  <c r="P46" i="45"/>
  <c r="O31" i="45"/>
  <c r="Q46" i="45" l="1"/>
  <c r="P47" i="45"/>
  <c r="O32" i="45"/>
  <c r="Q47" i="45" l="1"/>
  <c r="P48" i="45"/>
  <c r="O33" i="45"/>
  <c r="Q48" i="45" l="1"/>
  <c r="P49" i="45"/>
  <c r="O34" i="45"/>
  <c r="P50" i="45" l="1"/>
  <c r="Q49" i="45"/>
  <c r="O35" i="45"/>
  <c r="P51" i="45" l="1"/>
  <c r="P52" i="45" s="1"/>
  <c r="Q50" i="45"/>
  <c r="O36" i="45"/>
  <c r="Q51" i="45" l="1"/>
  <c r="Q52" i="45"/>
  <c r="O37" i="45"/>
  <c r="O38" i="45" l="1"/>
  <c r="O39" i="45" l="1"/>
  <c r="O40" i="45" l="1"/>
  <c r="O41" i="45" l="1"/>
  <c r="O42" i="45" l="1"/>
  <c r="O43" i="45" l="1"/>
  <c r="O44" i="45" s="1"/>
  <c r="O45" i="45" s="1"/>
  <c r="O46" i="45" s="1"/>
  <c r="O47" i="45" s="1"/>
  <c r="O48" i="45" s="1"/>
  <c r="O49" i="45" s="1"/>
  <c r="O50" i="45" s="1"/>
  <c r="O51" i="45" s="1"/>
  <c r="O52" i="45" s="1"/>
</calcChain>
</file>

<file path=xl/sharedStrings.xml><?xml version="1.0" encoding="utf-8"?>
<sst xmlns="http://schemas.openxmlformats.org/spreadsheetml/2006/main" count="539" uniqueCount="170">
  <si>
    <t>Centre Index 2081-07-1</t>
  </si>
  <si>
    <t>Centre Index 2081-08-1</t>
  </si>
  <si>
    <t>Centre Index 2081-09-1</t>
  </si>
  <si>
    <t>Centre Name Kachorwa</t>
  </si>
  <si>
    <t>Centre Code Kac A01</t>
  </si>
  <si>
    <t>Morning</t>
  </si>
  <si>
    <t>Total</t>
  </si>
  <si>
    <t>Fat</t>
  </si>
  <si>
    <t>Snf</t>
  </si>
  <si>
    <t>Amount</t>
  </si>
  <si>
    <t>Evening</t>
  </si>
  <si>
    <t>Centre Name Baswariya</t>
  </si>
  <si>
    <t>Centre Code BasA02</t>
  </si>
  <si>
    <t>Centre Name Teta</t>
  </si>
  <si>
    <t>Centre Code Tet A03</t>
  </si>
  <si>
    <t>Centre Name Bhagwanpur</t>
  </si>
  <si>
    <t>Centre Code Bha A04</t>
  </si>
  <si>
    <t>Customer Index</t>
  </si>
  <si>
    <t>Centre Code KacA01</t>
  </si>
  <si>
    <t>Customer Code</t>
  </si>
  <si>
    <t>Customer Nane</t>
  </si>
  <si>
    <t>Mobile No</t>
  </si>
  <si>
    <t>Total Purchase</t>
  </si>
  <si>
    <t>Status</t>
  </si>
  <si>
    <t>Kac01</t>
  </si>
  <si>
    <t>Ramishwar Prasad Yadav</t>
  </si>
  <si>
    <t>Active</t>
  </si>
  <si>
    <t>Kac02</t>
  </si>
  <si>
    <t>Kac03</t>
  </si>
  <si>
    <t>Kac04</t>
  </si>
  <si>
    <t>Kac05</t>
  </si>
  <si>
    <t>Kac06</t>
  </si>
  <si>
    <t>Kac07</t>
  </si>
  <si>
    <t>Kac08</t>
  </si>
  <si>
    <t>Kac09</t>
  </si>
  <si>
    <t>Kac10</t>
  </si>
  <si>
    <t>Kac11</t>
  </si>
  <si>
    <t>Kac12</t>
  </si>
  <si>
    <t>Kac13</t>
  </si>
  <si>
    <t>Kac14</t>
  </si>
  <si>
    <t>Kac15</t>
  </si>
  <si>
    <t>MWG Pvt Ltd</t>
  </si>
  <si>
    <t>Name Ramishwar Prasad Yadav(Neta Ji)</t>
  </si>
  <si>
    <t>Mob 9845491907</t>
  </si>
  <si>
    <t>Customer Ledger</t>
  </si>
  <si>
    <t>Address Baswariya 09, Simraungadh, Bara</t>
  </si>
  <si>
    <t>Customer Code Kac01</t>
  </si>
  <si>
    <t>Date</t>
  </si>
  <si>
    <t>Litre</t>
  </si>
  <si>
    <t>Per Litre</t>
  </si>
  <si>
    <t>Particular</t>
  </si>
  <si>
    <t>Dr Amount</t>
  </si>
  <si>
    <t>Cr Amount</t>
  </si>
  <si>
    <t>Balance</t>
  </si>
  <si>
    <t>Total Litre</t>
  </si>
  <si>
    <t>2081-Kar-23</t>
  </si>
  <si>
    <t>2081-Kar-24</t>
  </si>
  <si>
    <t>2081-Kar-25</t>
  </si>
  <si>
    <t>2081-Kar-26</t>
  </si>
  <si>
    <t>2081-Kar-27</t>
  </si>
  <si>
    <t>2081-Kar-28</t>
  </si>
  <si>
    <t>2081-Kar-29</t>
  </si>
  <si>
    <t>2081-Kar-30</t>
  </si>
  <si>
    <t>2081-Man-01</t>
  </si>
  <si>
    <t>2081-Man-02</t>
  </si>
  <si>
    <t>2081-Man-03</t>
  </si>
  <si>
    <t>2081-Man-04</t>
  </si>
  <si>
    <t>2081-Man-05</t>
  </si>
  <si>
    <t>2081-Man-06</t>
  </si>
  <si>
    <t>2081-Man-07</t>
  </si>
  <si>
    <t>2081-Man-08</t>
  </si>
  <si>
    <t>Dr/Cr</t>
  </si>
  <si>
    <t>2081-Man-09</t>
  </si>
  <si>
    <t>2081-Man-10</t>
  </si>
  <si>
    <t>2081-Man-11</t>
  </si>
  <si>
    <t>2081-Man-12</t>
  </si>
  <si>
    <t>2081-Man-13</t>
  </si>
  <si>
    <t>2081-Man-14</t>
  </si>
  <si>
    <t>2081-Man-15</t>
  </si>
  <si>
    <t>2081-Man-16</t>
  </si>
  <si>
    <t>2081-Man-17</t>
  </si>
  <si>
    <t>2081-Man-18</t>
  </si>
  <si>
    <t>2081-Man-19</t>
  </si>
  <si>
    <t>2081-Man-20</t>
  </si>
  <si>
    <t>2081-Man-21</t>
  </si>
  <si>
    <t>2081-Man-22</t>
  </si>
  <si>
    <t>2081-Man-23</t>
  </si>
  <si>
    <t>2081-Man-24</t>
  </si>
  <si>
    <t>2081-Man-25</t>
  </si>
  <si>
    <t>2081-Man-26</t>
  </si>
  <si>
    <t>2081-Man-27</t>
  </si>
  <si>
    <t>2081-Man-28</t>
  </si>
  <si>
    <t>2081-Man-29</t>
  </si>
  <si>
    <t>2081-Man-30</t>
  </si>
  <si>
    <t>Kac16</t>
  </si>
  <si>
    <t>Kac17</t>
  </si>
  <si>
    <t>Kac18</t>
  </si>
  <si>
    <t>Kac19</t>
  </si>
  <si>
    <t>Kac20</t>
  </si>
  <si>
    <t>Kac21</t>
  </si>
  <si>
    <t>Kac22</t>
  </si>
  <si>
    <t>Kac23</t>
  </si>
  <si>
    <t>Kac24</t>
  </si>
  <si>
    <t>Kac25</t>
  </si>
  <si>
    <t>Kac26</t>
  </si>
  <si>
    <t>Kac27</t>
  </si>
  <si>
    <t>Kac28</t>
  </si>
  <si>
    <t>Kac29</t>
  </si>
  <si>
    <t>Kac30</t>
  </si>
  <si>
    <t>Kac31</t>
  </si>
  <si>
    <t>Kac32</t>
  </si>
  <si>
    <t>Kac33</t>
  </si>
  <si>
    <t>Kac34</t>
  </si>
  <si>
    <t>Kac35</t>
  </si>
  <si>
    <t>Kac36</t>
  </si>
  <si>
    <t>Kac37</t>
  </si>
  <si>
    <t>Kac38</t>
  </si>
  <si>
    <t>Kac39</t>
  </si>
  <si>
    <t>Kac40</t>
  </si>
  <si>
    <t>Kac41</t>
  </si>
  <si>
    <t>Kac42</t>
  </si>
  <si>
    <t>Kac43</t>
  </si>
  <si>
    <t>Kac44</t>
  </si>
  <si>
    <t>Kac45</t>
  </si>
  <si>
    <t>Kac46</t>
  </si>
  <si>
    <t>Kac47</t>
  </si>
  <si>
    <t>Kac48</t>
  </si>
  <si>
    <t>Kac49</t>
  </si>
  <si>
    <t>Kac50</t>
  </si>
  <si>
    <t>Kac51</t>
  </si>
  <si>
    <t>Kac52</t>
  </si>
  <si>
    <t>Kac53</t>
  </si>
  <si>
    <t>Kac54</t>
  </si>
  <si>
    <t>Kac55</t>
  </si>
  <si>
    <t>Kac56</t>
  </si>
  <si>
    <t>Kac57</t>
  </si>
  <si>
    <t>Kac58</t>
  </si>
  <si>
    <t>Kac59</t>
  </si>
  <si>
    <t>Kac60</t>
  </si>
  <si>
    <t>Kac61</t>
  </si>
  <si>
    <t>Kac62</t>
  </si>
  <si>
    <t>Kac63</t>
  </si>
  <si>
    <t>Kac64</t>
  </si>
  <si>
    <t>Kac65</t>
  </si>
  <si>
    <t>Kac66</t>
  </si>
  <si>
    <t>Kac67</t>
  </si>
  <si>
    <t>Kac68</t>
  </si>
  <si>
    <t>Kac69</t>
  </si>
  <si>
    <t>Kac70</t>
  </si>
  <si>
    <t>Kac71</t>
  </si>
  <si>
    <t>Kac72</t>
  </si>
  <si>
    <t>Kac73</t>
  </si>
  <si>
    <t>Kac74</t>
  </si>
  <si>
    <t>Kac75</t>
  </si>
  <si>
    <t>Kac76</t>
  </si>
  <si>
    <t>Kac77</t>
  </si>
  <si>
    <t>Kac78</t>
  </si>
  <si>
    <t>2081-Pos-01</t>
  </si>
  <si>
    <t>2081-Pos-02</t>
  </si>
  <si>
    <t>2081-Pos-03</t>
  </si>
  <si>
    <t>2081-Pos-04</t>
  </si>
  <si>
    <t>2081-Pos-05</t>
  </si>
  <si>
    <t>2081-Pos-06</t>
  </si>
  <si>
    <t>2081-Pos-07</t>
  </si>
  <si>
    <t>2081-Pos-08</t>
  </si>
  <si>
    <t>2081-Pos-09</t>
  </si>
  <si>
    <t>2081-Pos-10</t>
  </si>
  <si>
    <t>2081-Pos-11</t>
  </si>
  <si>
    <t>2081-Pos-12</t>
  </si>
  <si>
    <t>2081-Pos-13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</si>
</sst>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61]yyyy\-mm\-dd;@"/>
  </numFmts>
  <fonts count="20" x14ac:knownFonts="1">
    <font>
      <sz val="11"/>
      <color theme="1"/>
      <name val="Calibri"/>
      <family val="2"/>
      <scheme val="minor"/>
    </font>
    <font>
      <sz val="20"/>
      <color theme="1"/>
      <name val="Calibri"/>
      <scheme val="minor"/>
    </font>
    <font>
      <b/>
      <sz val="28"/>
      <color theme="1"/>
      <name val="Calibri"/>
      <scheme val="minor"/>
    </font>
    <font>
      <sz val="11"/>
      <color rgb="FF000000"/>
      <name val="Calibri"/>
      <scheme val="minor"/>
    </font>
    <font>
      <b/>
      <sz val="20"/>
      <color theme="1"/>
      <name val="Calibri"/>
      <scheme val="minor"/>
    </font>
    <font>
      <b/>
      <sz val="16"/>
      <color theme="1"/>
      <name val="Calibri"/>
      <scheme val="minor"/>
    </font>
    <font>
      <b/>
      <sz val="24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rgb="FF00B050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b/>
      <sz val="22"/>
      <color theme="1"/>
      <name val="Calibri"/>
      <scheme val="minor"/>
    </font>
    <font>
      <b/>
      <sz val="11"/>
      <color rgb="FF002060"/>
      <name val="Calibri"/>
      <scheme val="minor"/>
    </font>
    <font>
      <sz val="11"/>
      <name val="Calibri"/>
      <scheme val="minor"/>
    </font>
    <font>
      <u/>
      <sz val="14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B050"/>
        <bgColor auto="1"/>
      </patternFill>
    </fill>
    <fill>
      <patternFill patternType="solid">
        <fgColor rgb="FFE5B9B7"/>
        <bgColor auto="1"/>
      </patternFill>
    </fill>
    <fill>
      <patternFill patternType="solid">
        <fgColor rgb="FFB8CCE4"/>
        <bgColor auto="1"/>
      </patternFill>
    </fill>
    <fill>
      <patternFill patternType="solid">
        <fgColor rgb="FFDDD9C3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AC08F"/>
      </patternFill>
    </fill>
    <fill>
      <patternFill patternType="solid">
        <fgColor rgb="FFB8CCE4"/>
      </patternFill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B2A2C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7E3BC"/>
      </patternFill>
    </fill>
    <fill>
      <patternFill patternType="solid">
        <fgColor rgb="FFC6D9F0"/>
      </patternFill>
    </fill>
    <fill>
      <patternFill patternType="solid">
        <fgColor rgb="FF7F7F7F"/>
      </patternFill>
    </fill>
    <fill>
      <patternFill patternType="solid">
        <fgColor rgb="FF92D05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111">
    <xf numFmtId="0" fontId="0" fillId="0" borderId="0" xfId="0"/>
    <xf numFmtId="0" fontId="1" fillId="0" borderId="0" xfId="1" applyFont="1" applyAlignment="1">
      <alignment wrapText="1"/>
    </xf>
    <xf numFmtId="0" fontId="1" fillId="0" borderId="0" xfId="1" applyFont="1" applyBorder="1"/>
    <xf numFmtId="0" fontId="3" fillId="0" borderId="0" xfId="1"/>
    <xf numFmtId="0" fontId="1" fillId="0" borderId="0" xfId="1" applyFont="1"/>
    <xf numFmtId="14" fontId="1" fillId="0" borderId="0" xfId="1" applyNumberFormat="1" applyFont="1"/>
    <xf numFmtId="0" fontId="4" fillId="3" borderId="2" xfId="1" applyFont="1" applyFill="1" applyBorder="1"/>
    <xf numFmtId="0" fontId="1" fillId="4" borderId="2" xfId="1" applyFont="1" applyFill="1" applyBorder="1"/>
    <xf numFmtId="0" fontId="4" fillId="5" borderId="2" xfId="1" applyFont="1" applyFill="1" applyBorder="1"/>
    <xf numFmtId="0" fontId="4" fillId="0" borderId="2" xfId="1" applyFont="1" applyBorder="1"/>
    <xf numFmtId="0" fontId="1" fillId="0" borderId="2" xfId="1" applyFont="1" applyBorder="1"/>
    <xf numFmtId="0" fontId="1" fillId="5" borderId="2" xfId="1" applyFont="1" applyFill="1" applyBorder="1"/>
    <xf numFmtId="0" fontId="4" fillId="6" borderId="2" xfId="1" applyFont="1" applyFill="1" applyBorder="1"/>
    <xf numFmtId="0" fontId="1" fillId="7" borderId="2" xfId="1" applyFont="1" applyFill="1" applyBorder="1"/>
    <xf numFmtId="0" fontId="6" fillId="8" borderId="0" xfId="0" applyFont="1" applyFill="1"/>
    <xf numFmtId="0" fontId="8" fillId="9" borderId="3" xfId="0" applyFont="1" applyFill="1" applyBorder="1"/>
    <xf numFmtId="0" fontId="8" fillId="9" borderId="4" xfId="0" applyFont="1" applyFill="1" applyBorder="1"/>
    <xf numFmtId="0" fontId="8" fillId="9" borderId="5" xfId="0" applyFont="1" applyFill="1" applyBorder="1"/>
    <xf numFmtId="0" fontId="8" fillId="9" borderId="6" xfId="0" applyFont="1" applyFill="1" applyBorder="1"/>
    <xf numFmtId="0" fontId="0" fillId="9" borderId="6" xfId="0" applyFill="1" applyBorder="1"/>
    <xf numFmtId="0" fontId="0" fillId="9" borderId="7" xfId="0" applyFill="1" applyBorder="1"/>
    <xf numFmtId="0" fontId="8" fillId="9" borderId="2" xfId="0" applyFont="1" applyFill="1" applyBorder="1"/>
    <xf numFmtId="0" fontId="0" fillId="0" borderId="0" xfId="0" applyBorder="1"/>
    <xf numFmtId="0" fontId="9" fillId="0" borderId="8" xfId="2" applyBorder="1"/>
    <xf numFmtId="0" fontId="8" fillId="0" borderId="8" xfId="0" applyFont="1" applyBorder="1"/>
    <xf numFmtId="0" fontId="8" fillId="0" borderId="9" xfId="0" applyFont="1" applyBorder="1"/>
    <xf numFmtId="0" fontId="0" fillId="0" borderId="6" xfId="0" applyBorder="1"/>
    <xf numFmtId="0" fontId="0" fillId="0" borderId="7" xfId="0" applyBorder="1"/>
    <xf numFmtId="0" fontId="10" fillId="0" borderId="2" xfId="0" applyFont="1" applyBorder="1"/>
    <xf numFmtId="0" fontId="0" fillId="0" borderId="8" xfId="0" applyBorder="1"/>
    <xf numFmtId="0" fontId="8" fillId="10" borderId="8" xfId="0" applyFont="1" applyFill="1" applyBorder="1"/>
    <xf numFmtId="0" fontId="0" fillId="0" borderId="9" xfId="0" applyBorder="1"/>
    <xf numFmtId="0" fontId="8" fillId="11" borderId="8" xfId="0" applyFont="1" applyFill="1" applyBorder="1"/>
    <xf numFmtId="0" fontId="11" fillId="10" borderId="8" xfId="0" applyFont="1" applyFill="1" applyBorder="1"/>
    <xf numFmtId="0" fontId="12" fillId="12" borderId="8" xfId="0" applyFont="1" applyFill="1" applyBorder="1"/>
    <xf numFmtId="0" fontId="12" fillId="12" borderId="9" xfId="0" applyFont="1" applyFill="1" applyBorder="1"/>
    <xf numFmtId="0" fontId="12" fillId="12" borderId="6" xfId="0" applyFont="1" applyFill="1" applyBorder="1"/>
    <xf numFmtId="0" fontId="12" fillId="12" borderId="7" xfId="0" applyFont="1" applyFill="1" applyBorder="1"/>
    <xf numFmtId="0" fontId="0" fillId="12" borderId="8" xfId="0" applyFill="1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17" borderId="15" xfId="0" applyFont="1" applyFill="1" applyBorder="1"/>
    <xf numFmtId="0" fontId="5" fillId="0" borderId="2" xfId="0" applyFont="1" applyBorder="1"/>
    <xf numFmtId="0" fontId="7" fillId="9" borderId="16" xfId="0" applyFont="1" applyFill="1" applyBorder="1"/>
    <xf numFmtId="0" fontId="7" fillId="9" borderId="17" xfId="0" applyFont="1" applyFill="1" applyBorder="1"/>
    <xf numFmtId="0" fontId="7" fillId="9" borderId="18" xfId="0" applyFont="1" applyFill="1" applyBorder="1"/>
    <xf numFmtId="0" fontId="8" fillId="18" borderId="2" xfId="0" applyFont="1" applyFill="1" applyBorder="1"/>
    <xf numFmtId="164" fontId="8" fillId="19" borderId="2" xfId="0" applyNumberFormat="1" applyFont="1" applyFill="1" applyBorder="1"/>
    <xf numFmtId="0" fontId="8" fillId="19" borderId="2" xfId="0" applyFont="1" applyFill="1" applyBorder="1"/>
    <xf numFmtId="0" fontId="14" fillId="19" borderId="2" xfId="0" applyFont="1" applyFill="1" applyBorder="1"/>
    <xf numFmtId="0" fontId="0" fillId="19" borderId="2" xfId="0" applyFill="1" applyBorder="1"/>
    <xf numFmtId="164" fontId="0" fillId="12" borderId="6" xfId="0" applyNumberFormat="1" applyFill="1" applyBorder="1"/>
    <xf numFmtId="0" fontId="15" fillId="12" borderId="6" xfId="0" applyFont="1" applyFill="1" applyBorder="1"/>
    <xf numFmtId="0" fontId="0" fillId="12" borderId="6" xfId="0" applyFill="1" applyBorder="1"/>
    <xf numFmtId="164" fontId="0" fillId="0" borderId="2" xfId="0" applyNumberFormat="1" applyBorder="1"/>
    <xf numFmtId="0" fontId="0" fillId="0" borderId="19" xfId="0" applyBorder="1"/>
    <xf numFmtId="0" fontId="0" fillId="0" borderId="20" xfId="0" applyBorder="1"/>
    <xf numFmtId="0" fontId="0" fillId="0" borderId="15" xfId="0" applyBorder="1"/>
    <xf numFmtId="164" fontId="0" fillId="0" borderId="6" xfId="0" applyNumberFormat="1" applyBorder="1"/>
    <xf numFmtId="0" fontId="0" fillId="12" borderId="6" xfId="0" applyFont="1" applyFill="1" applyBorder="1"/>
    <xf numFmtId="164" fontId="8" fillId="20" borderId="6" xfId="0" applyNumberFormat="1" applyFont="1" applyFill="1" applyBorder="1"/>
    <xf numFmtId="0" fontId="0" fillId="20" borderId="6" xfId="0" applyFill="1" applyBorder="1"/>
    <xf numFmtId="0" fontId="0" fillId="20" borderId="2" xfId="0" applyFill="1" applyBorder="1"/>
    <xf numFmtId="0" fontId="0" fillId="12" borderId="0" xfId="0" applyFill="1"/>
    <xf numFmtId="164" fontId="0" fillId="20" borderId="2" xfId="0" applyNumberFormat="1" applyFill="1" applyBorder="1"/>
    <xf numFmtId="0" fontId="0" fillId="20" borderId="15" xfId="0" applyFill="1" applyBorder="1"/>
    <xf numFmtId="0" fontId="0" fillId="20" borderId="20" xfId="0" applyFill="1" applyBorder="1"/>
    <xf numFmtId="164" fontId="0" fillId="12" borderId="2" xfId="0" applyNumberFormat="1" applyFill="1" applyBorder="1"/>
    <xf numFmtId="0" fontId="0" fillId="12" borderId="15" xfId="0" applyFill="1" applyBorder="1"/>
    <xf numFmtId="0" fontId="0" fillId="12" borderId="2" xfId="0" applyFill="1" applyBorder="1"/>
    <xf numFmtId="0" fontId="0" fillId="12" borderId="0" xfId="0" applyFill="1" applyBorder="1"/>
    <xf numFmtId="0" fontId="0" fillId="0" borderId="13" xfId="0" applyBorder="1"/>
    <xf numFmtId="0" fontId="0" fillId="0" borderId="18" xfId="0" applyBorder="1"/>
    <xf numFmtId="0" fontId="0" fillId="0" borderId="3" xfId="0" applyBorder="1"/>
    <xf numFmtId="0" fontId="9" fillId="21" borderId="0" xfId="2" applyFill="1" applyBorder="1" applyAlignment="1"/>
    <xf numFmtId="0" fontId="7" fillId="21" borderId="0" xfId="0" applyFont="1" applyFill="1" applyBorder="1"/>
    <xf numFmtId="0" fontId="0" fillId="0" borderId="0" xfId="0"/>
    <xf numFmtId="0" fontId="18" fillId="17" borderId="15" xfId="0" applyFont="1" applyFill="1" applyBorder="1"/>
    <xf numFmtId="0" fontId="17" fillId="18" borderId="8" xfId="0" applyFont="1" applyFill="1" applyBorder="1"/>
    <xf numFmtId="0" fontId="0" fillId="0" borderId="8" xfId="0" applyFont="1" applyBorder="1"/>
    <xf numFmtId="0" fontId="0" fillId="20" borderId="8" xfId="0" applyFont="1" applyFill="1" applyBorder="1"/>
    <xf numFmtId="0" fontId="4" fillId="0" borderId="1" xfId="1" applyFont="1" applyBorder="1"/>
    <xf numFmtId="0" fontId="2" fillId="2" borderId="0" xfId="1" applyFont="1" applyFill="1" applyBorder="1" applyAlignment="1">
      <alignment horizontal="center" vertical="top"/>
    </xf>
    <xf numFmtId="0" fontId="1" fillId="0" borderId="0" xfId="1" applyFont="1" applyBorder="1"/>
    <xf numFmtId="0" fontId="5" fillId="0" borderId="0" xfId="0" applyFont="1"/>
    <xf numFmtId="0" fontId="2" fillId="0" borderId="0" xfId="1" applyFont="1" applyBorder="1" applyAlignment="1">
      <alignment horizontal="center" vertical="top"/>
    </xf>
    <xf numFmtId="0" fontId="7" fillId="8" borderId="0" xfId="1" applyFont="1" applyFill="1" applyBorder="1"/>
    <xf numFmtId="0" fontId="5" fillId="17" borderId="13" xfId="0" applyFont="1" applyFill="1" applyBorder="1"/>
    <xf numFmtId="0" fontId="5" fillId="17" borderId="14" xfId="0" applyFont="1" applyFill="1" applyBorder="1"/>
    <xf numFmtId="0" fontId="5" fillId="17" borderId="15" xfId="0" applyFont="1" applyFill="1" applyBorder="1"/>
    <xf numFmtId="0" fontId="0" fillId="0" borderId="0" xfId="0"/>
    <xf numFmtId="0" fontId="4" fillId="0" borderId="0" xfId="0" applyFont="1"/>
    <xf numFmtId="0" fontId="8" fillId="14" borderId="0" xfId="0" applyFont="1" applyFill="1"/>
    <xf numFmtId="0" fontId="8" fillId="15" borderId="0" xfId="0" applyFont="1" applyFill="1" applyAlignment="1">
      <alignment wrapText="1"/>
    </xf>
    <xf numFmtId="0" fontId="13" fillId="13" borderId="0" xfId="0" applyFont="1" applyFill="1" applyAlignment="1">
      <alignment horizontal="center"/>
    </xf>
    <xf numFmtId="0" fontId="8" fillId="16" borderId="0" xfId="0" applyFont="1" applyFill="1"/>
    <xf numFmtId="0" fontId="8" fillId="16" borderId="22" xfId="0" applyFont="1" applyFill="1" applyBorder="1"/>
    <xf numFmtId="0" fontId="16" fillId="22" borderId="21" xfId="2" applyFont="1" applyFill="1" applyBorder="1" applyAlignment="1"/>
    <xf numFmtId="0" fontId="16" fillId="22" borderId="0" xfId="2" applyFont="1" applyFill="1" applyBorder="1" applyAlignment="1"/>
    <xf numFmtId="0" fontId="0" fillId="23" borderId="2" xfId="0" applyFill="1" applyBorder="1"/>
    <xf numFmtId="0" fontId="0" fillId="23" borderId="8" xfId="0" applyFont="1" applyFill="1" applyBorder="1"/>
    <xf numFmtId="164" fontId="0" fillId="24" borderId="6" xfId="0" applyNumberFormat="1" applyFill="1" applyBorder="1"/>
    <xf numFmtId="0" fontId="0" fillId="24" borderId="2" xfId="0" applyFill="1" applyBorder="1"/>
    <xf numFmtId="0" fontId="0" fillId="24" borderId="8" xfId="0" applyFont="1" applyFill="1" applyBorder="1"/>
    <xf numFmtId="0" fontId="0" fillId="25" borderId="10" xfId="0" applyFill="1" applyBorder="1"/>
    <xf numFmtId="0" fontId="0" fillId="26" borderId="8" xfId="0" applyFont="1" applyFill="1" applyBorder="1"/>
    <xf numFmtId="0" fontId="0" fillId="26" borderId="6" xfId="0" applyFill="1" applyBorder="1"/>
    <xf numFmtId="0" fontId="19" fillId="17" borderId="13" xfId="0" applyFont="1" applyFill="1" applyBorder="1"/>
    <xf numFmtId="0" fontId="17" fillId="18" borderId="2" xfId="0" applyFont="1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H55"/>
  <sheetViews>
    <sheetView zoomScale="70" zoomScaleNormal="70" workbookViewId="0">
      <selection activeCell="A7" sqref="A7"/>
    </sheetView>
  </sheetViews>
  <sheetFormatPr defaultRowHeight="14.4" x14ac:dyDescent="0.3"/>
  <cols>
    <col min="3" max="3" width="9.109375" customWidth="1"/>
    <col min="4" max="4" width="17" bestFit="1" customWidth="1"/>
    <col min="5" max="5" width="8.33203125" customWidth="1"/>
    <col min="6" max="13" width="4.44140625" bestFit="1" customWidth="1"/>
    <col min="14" max="18" width="6.5546875" bestFit="1" customWidth="1"/>
    <col min="19" max="19" width="12.5546875" bestFit="1" customWidth="1"/>
    <col min="20" max="20" width="15" bestFit="1" customWidth="1"/>
    <col min="21" max="32" width="6.5546875" bestFit="1" customWidth="1"/>
    <col min="33" max="33" width="10.5546875" customWidth="1"/>
    <col min="34" max="34" width="6.5546875" bestFit="1" customWidth="1"/>
    <col min="35" max="35" width="15" customWidth="1"/>
    <col min="36" max="36" width="15.109375" customWidth="1"/>
    <col min="37" max="37" width="10.5546875" bestFit="1" customWidth="1"/>
    <col min="41" max="41" width="17" bestFit="1" customWidth="1"/>
    <col min="42" max="50" width="4.44140625" bestFit="1" customWidth="1"/>
    <col min="51" max="68" width="6.5546875" bestFit="1" customWidth="1"/>
    <col min="69" max="69" width="14.88671875" customWidth="1"/>
    <col min="70" max="71" width="6.5546875" bestFit="1" customWidth="1"/>
    <col min="72" max="72" width="6.88671875" customWidth="1"/>
    <col min="73" max="73" width="17" customWidth="1"/>
    <col min="74" max="74" width="10.5546875" bestFit="1" customWidth="1"/>
    <col min="77" max="77" width="17" bestFit="1" customWidth="1"/>
    <col min="78" max="86" width="4.44140625" bestFit="1" customWidth="1"/>
    <col min="87" max="105" width="6.5546875" bestFit="1" customWidth="1"/>
    <col min="106" max="106" width="9.44140625" customWidth="1"/>
    <col min="107" max="107" width="6.5546875" bestFit="1" customWidth="1"/>
    <col min="108" max="108" width="13.44140625" customWidth="1"/>
    <col min="109" max="109" width="13.88671875" customWidth="1"/>
    <col min="110" max="110" width="10.5546875" bestFit="1" customWidth="1"/>
  </cols>
  <sheetData>
    <row r="3" spans="3:112" ht="36.6" x14ac:dyDescent="0.5">
      <c r="C3" s="1"/>
      <c r="D3" s="2"/>
      <c r="E3" s="84" t="s">
        <v>0</v>
      </c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3"/>
      <c r="AJ3" s="3"/>
      <c r="AK3" s="3"/>
      <c r="AL3" s="3"/>
      <c r="AM3" s="3"/>
      <c r="AN3" s="3"/>
      <c r="AO3" s="2"/>
      <c r="AP3" s="87" t="s">
        <v>1</v>
      </c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4"/>
      <c r="BU3" s="4"/>
      <c r="BV3" s="4"/>
      <c r="BW3" s="3"/>
      <c r="BX3" s="3"/>
      <c r="BY3" s="2"/>
      <c r="BZ3" s="87" t="s">
        <v>2</v>
      </c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4"/>
      <c r="DE3" s="4"/>
      <c r="DF3" s="4"/>
    </row>
    <row r="4" spans="3:112" ht="25.8" x14ac:dyDescent="0.5">
      <c r="D4" s="85"/>
      <c r="E4" s="85"/>
      <c r="F4" s="85"/>
      <c r="G4" s="85"/>
      <c r="H4" s="85"/>
      <c r="I4" s="85"/>
      <c r="J4" s="85"/>
      <c r="K4" s="85"/>
      <c r="L4" s="85"/>
      <c r="M4" s="2"/>
      <c r="N4" s="2"/>
      <c r="O4" s="2"/>
      <c r="P4" s="2"/>
      <c r="Q4" s="3"/>
      <c r="R4" s="3"/>
      <c r="S4" s="3"/>
      <c r="T4" s="3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85"/>
      <c r="AP4" s="85"/>
      <c r="AQ4" s="85"/>
      <c r="AR4" s="85"/>
      <c r="AS4" s="85"/>
      <c r="AT4" s="85"/>
      <c r="AU4" s="85"/>
      <c r="AV4" s="85"/>
      <c r="AW4" s="85"/>
      <c r="AX4" s="2"/>
      <c r="AY4" s="2"/>
      <c r="AZ4" s="2"/>
      <c r="BA4" s="2"/>
      <c r="BB4" s="4"/>
      <c r="BC4" s="4"/>
      <c r="BD4" s="4"/>
      <c r="BE4" s="4"/>
      <c r="BF4" s="5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3"/>
      <c r="BX4" s="3"/>
      <c r="BY4" s="85"/>
      <c r="BZ4" s="85"/>
      <c r="CA4" s="85"/>
      <c r="CB4" s="85"/>
      <c r="CC4" s="85"/>
      <c r="CD4" s="85"/>
      <c r="CE4" s="85"/>
      <c r="CF4" s="85"/>
      <c r="CG4" s="85"/>
      <c r="CH4" s="2"/>
      <c r="CI4" s="2"/>
      <c r="CJ4" s="2"/>
      <c r="CK4" s="2"/>
      <c r="CL4" s="4"/>
      <c r="CM4" s="4"/>
      <c r="CN4" s="4"/>
      <c r="CO4" s="4"/>
      <c r="CP4" s="5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</row>
    <row r="5" spans="3:112" ht="25.8" x14ac:dyDescent="0.5">
      <c r="D5" s="83" t="s">
        <v>3</v>
      </c>
      <c r="E5" s="83"/>
      <c r="F5" s="83"/>
      <c r="G5" s="83"/>
      <c r="H5" s="83"/>
      <c r="I5" s="83"/>
      <c r="J5" s="83"/>
      <c r="K5" s="83"/>
      <c r="L5" s="83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86" t="s">
        <v>4</v>
      </c>
      <c r="AE5" s="86"/>
      <c r="AF5" s="86"/>
      <c r="AG5" s="86"/>
      <c r="AH5" s="3"/>
      <c r="AI5" s="4"/>
      <c r="AJ5" s="4"/>
      <c r="AK5" s="3"/>
      <c r="AL5" s="3"/>
      <c r="AM5" s="3"/>
      <c r="AN5" s="3"/>
      <c r="AO5" s="83" t="s">
        <v>3</v>
      </c>
      <c r="AP5" s="83"/>
      <c r="AQ5" s="83"/>
      <c r="AR5" s="83"/>
      <c r="AS5" s="83"/>
      <c r="AT5" s="83"/>
      <c r="AU5" s="83"/>
      <c r="AV5" s="83"/>
      <c r="AW5" s="83"/>
      <c r="AX5" s="2"/>
      <c r="AY5" s="2"/>
      <c r="AZ5" s="2"/>
      <c r="BA5" s="2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86" t="s">
        <v>4</v>
      </c>
      <c r="BP5" s="86"/>
      <c r="BQ5" s="86"/>
      <c r="BR5" s="86"/>
      <c r="BS5" s="4"/>
      <c r="BT5" s="4"/>
      <c r="BU5" s="4"/>
      <c r="BV5" s="4"/>
      <c r="BW5" s="3"/>
      <c r="BX5" s="3"/>
      <c r="BY5" s="83" t="s">
        <v>3</v>
      </c>
      <c r="BZ5" s="83"/>
      <c r="CA5" s="83"/>
      <c r="CB5" s="83"/>
      <c r="CC5" s="83"/>
      <c r="CD5" s="83"/>
      <c r="CE5" s="83"/>
      <c r="CF5" s="83"/>
      <c r="CG5" s="83"/>
      <c r="CH5" s="2"/>
      <c r="CI5" s="2"/>
      <c r="CJ5" s="2"/>
      <c r="CK5" s="2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86" t="s">
        <v>4</v>
      </c>
      <c r="CZ5" s="86"/>
      <c r="DA5" s="86"/>
      <c r="DB5" s="86"/>
      <c r="DC5" s="4"/>
      <c r="DD5" s="4"/>
      <c r="DE5" s="4"/>
      <c r="DF5" s="4"/>
    </row>
    <row r="6" spans="3:112" ht="25.8" x14ac:dyDescent="0.5">
      <c r="D6" s="6" t="s">
        <v>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  <c r="O6" s="7">
        <v>11</v>
      </c>
      <c r="P6" s="7">
        <v>12</v>
      </c>
      <c r="Q6" s="7">
        <v>13</v>
      </c>
      <c r="R6" s="7">
        <v>14</v>
      </c>
      <c r="S6" s="7">
        <v>15</v>
      </c>
      <c r="T6" s="7">
        <v>16</v>
      </c>
      <c r="U6" s="7">
        <v>17</v>
      </c>
      <c r="V6" s="7">
        <v>18</v>
      </c>
      <c r="W6" s="7">
        <v>19</v>
      </c>
      <c r="X6" s="7">
        <v>20</v>
      </c>
      <c r="Y6" s="7">
        <v>21</v>
      </c>
      <c r="Z6" s="7">
        <v>22</v>
      </c>
      <c r="AA6" s="7">
        <v>23</v>
      </c>
      <c r="AB6" s="7">
        <v>24</v>
      </c>
      <c r="AC6" s="7">
        <v>25</v>
      </c>
      <c r="AD6" s="7">
        <v>26</v>
      </c>
      <c r="AE6" s="7">
        <v>27</v>
      </c>
      <c r="AF6" s="7">
        <v>28</v>
      </c>
      <c r="AG6" s="7">
        <v>29</v>
      </c>
      <c r="AH6" s="7">
        <v>30</v>
      </c>
      <c r="AI6" s="7">
        <v>31</v>
      </c>
      <c r="AJ6" s="7">
        <v>32</v>
      </c>
      <c r="AK6" s="8" t="s">
        <v>6</v>
      </c>
      <c r="AL6" s="2"/>
      <c r="AM6" s="2"/>
      <c r="AN6" s="2"/>
      <c r="AO6" s="6" t="s">
        <v>5</v>
      </c>
      <c r="AP6" s="7">
        <v>1</v>
      </c>
      <c r="AQ6" s="7">
        <v>2</v>
      </c>
      <c r="AR6" s="7">
        <v>3</v>
      </c>
      <c r="AS6" s="7">
        <v>4</v>
      </c>
      <c r="AT6" s="7">
        <v>5</v>
      </c>
      <c r="AU6" s="7">
        <v>6</v>
      </c>
      <c r="AV6" s="7">
        <v>7</v>
      </c>
      <c r="AW6" s="7">
        <v>8</v>
      </c>
      <c r="AX6" s="7">
        <v>9</v>
      </c>
      <c r="AY6" s="7">
        <v>10</v>
      </c>
      <c r="AZ6" s="7">
        <v>11</v>
      </c>
      <c r="BA6" s="7">
        <v>12</v>
      </c>
      <c r="BB6" s="7">
        <v>13</v>
      </c>
      <c r="BC6" s="7">
        <v>14</v>
      </c>
      <c r="BD6" s="7">
        <v>15</v>
      </c>
      <c r="BE6" s="7">
        <v>16</v>
      </c>
      <c r="BF6" s="7">
        <v>17</v>
      </c>
      <c r="BG6" s="7">
        <v>18</v>
      </c>
      <c r="BH6" s="7">
        <v>19</v>
      </c>
      <c r="BI6" s="7">
        <v>20</v>
      </c>
      <c r="BJ6" s="7">
        <v>21</v>
      </c>
      <c r="BK6" s="7">
        <v>22</v>
      </c>
      <c r="BL6" s="7">
        <v>23</v>
      </c>
      <c r="BM6" s="7">
        <v>24</v>
      </c>
      <c r="BN6" s="7">
        <v>25</v>
      </c>
      <c r="BO6" s="7">
        <v>26</v>
      </c>
      <c r="BP6" s="7">
        <v>27</v>
      </c>
      <c r="BQ6" s="7">
        <v>28</v>
      </c>
      <c r="BR6" s="7">
        <v>29</v>
      </c>
      <c r="BS6" s="7">
        <v>30</v>
      </c>
      <c r="BT6" s="7">
        <v>31</v>
      </c>
      <c r="BU6" s="7">
        <v>32</v>
      </c>
      <c r="BV6" s="8" t="s">
        <v>6</v>
      </c>
      <c r="BW6" s="2"/>
      <c r="BX6" s="2"/>
      <c r="BY6" s="6" t="s">
        <v>5</v>
      </c>
      <c r="BZ6" s="7">
        <v>1</v>
      </c>
      <c r="CA6" s="7">
        <v>2</v>
      </c>
      <c r="CB6" s="7">
        <v>3</v>
      </c>
      <c r="CC6" s="7">
        <v>4</v>
      </c>
      <c r="CD6" s="7">
        <v>5</v>
      </c>
      <c r="CE6" s="7">
        <v>6</v>
      </c>
      <c r="CF6" s="7">
        <v>7</v>
      </c>
      <c r="CG6" s="7">
        <v>8</v>
      </c>
      <c r="CH6" s="7">
        <v>9</v>
      </c>
      <c r="CI6" s="7">
        <v>10</v>
      </c>
      <c r="CJ6" s="7">
        <v>11</v>
      </c>
      <c r="CK6" s="7">
        <v>12</v>
      </c>
      <c r="CL6" s="7">
        <v>13</v>
      </c>
      <c r="CM6" s="7">
        <v>14</v>
      </c>
      <c r="CN6" s="7">
        <v>15</v>
      </c>
      <c r="CO6" s="7">
        <v>16</v>
      </c>
      <c r="CP6" s="7">
        <v>17</v>
      </c>
      <c r="CQ6" s="7">
        <v>18</v>
      </c>
      <c r="CR6" s="7">
        <v>19</v>
      </c>
      <c r="CS6" s="7">
        <v>20</v>
      </c>
      <c r="CT6" s="7">
        <v>21</v>
      </c>
      <c r="CU6" s="7">
        <v>22</v>
      </c>
      <c r="CV6" s="7">
        <v>23</v>
      </c>
      <c r="CW6" s="7">
        <v>24</v>
      </c>
      <c r="CX6" s="7">
        <v>25</v>
      </c>
      <c r="CY6" s="7">
        <v>26</v>
      </c>
      <c r="CZ6" s="7">
        <v>27</v>
      </c>
      <c r="DA6" s="7">
        <v>28</v>
      </c>
      <c r="DB6" s="7">
        <v>29</v>
      </c>
      <c r="DC6" s="7">
        <v>30</v>
      </c>
      <c r="DD6" s="7">
        <v>31</v>
      </c>
      <c r="DE6" s="7">
        <v>32</v>
      </c>
      <c r="DF6" s="8" t="s">
        <v>6</v>
      </c>
      <c r="DG6" s="2"/>
      <c r="DH6" s="2"/>
    </row>
    <row r="7" spans="3:112" ht="25.8" x14ac:dyDescent="0.5">
      <c r="D7" s="9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2"/>
      <c r="AM7" s="2"/>
      <c r="AN7" s="2"/>
      <c r="AO7" s="9" t="s">
        <v>7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1">
        <v>0</v>
      </c>
      <c r="BW7" s="3"/>
      <c r="BX7" s="3"/>
      <c r="BY7" s="9" t="s">
        <v>7</v>
      </c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1">
        <v>0</v>
      </c>
    </row>
    <row r="8" spans="3:112" ht="25.8" x14ac:dyDescent="0.5">
      <c r="D8" s="9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  <c r="AL8" s="2"/>
      <c r="AM8" s="2"/>
      <c r="AN8" s="2"/>
      <c r="AO8" s="9" t="s">
        <v>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1">
        <v>0</v>
      </c>
      <c r="BW8" s="3"/>
      <c r="BX8" s="3"/>
      <c r="BY8" s="9" t="s">
        <v>8</v>
      </c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1">
        <v>0</v>
      </c>
    </row>
    <row r="9" spans="3:112" ht="25.8" x14ac:dyDescent="0.5">
      <c r="D9" s="9" t="s">
        <v>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2"/>
      <c r="AM9" s="2"/>
      <c r="AN9" s="2"/>
      <c r="AO9" s="9" t="s">
        <v>9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1">
        <v>0</v>
      </c>
      <c r="BW9" s="3"/>
      <c r="BX9" s="3"/>
      <c r="BY9" s="9" t="s">
        <v>9</v>
      </c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1">
        <v>0</v>
      </c>
    </row>
    <row r="10" spans="3:112" ht="25.8" x14ac:dyDescent="0.5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"/>
      <c r="AL10" s="2"/>
      <c r="AM10" s="2"/>
      <c r="AN10" s="2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1">
        <v>0</v>
      </c>
      <c r="BW10" s="3"/>
      <c r="BX10" s="3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1">
        <v>0</v>
      </c>
    </row>
    <row r="11" spans="3:112" ht="25.8" x14ac:dyDescent="0.5">
      <c r="D11" s="12" t="s">
        <v>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  <c r="AL11" s="2"/>
      <c r="AM11" s="2"/>
      <c r="AN11" s="2"/>
      <c r="AO11" s="12" t="s">
        <v>10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1">
        <v>0</v>
      </c>
      <c r="BW11" s="3"/>
      <c r="BX11" s="3"/>
      <c r="BY11" s="12" t="s">
        <v>10</v>
      </c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1">
        <v>0</v>
      </c>
    </row>
    <row r="12" spans="3:112" ht="25.8" x14ac:dyDescent="0.5">
      <c r="D12" s="9" t="s">
        <v>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/>
      <c r="AL12" s="2"/>
      <c r="AM12" s="2"/>
      <c r="AN12" s="2"/>
      <c r="AO12" s="9" t="s">
        <v>7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1"/>
      <c r="BW12" s="3"/>
      <c r="BX12" s="3"/>
      <c r="BY12" s="9" t="s">
        <v>7</v>
      </c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1"/>
    </row>
    <row r="13" spans="3:112" ht="25.8" x14ac:dyDescent="0.5">
      <c r="D13" s="9" t="s">
        <v>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"/>
      <c r="AL13" s="2"/>
      <c r="AM13" s="2"/>
      <c r="AN13" s="2"/>
      <c r="AO13" s="9" t="s">
        <v>8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1"/>
      <c r="BW13" s="3"/>
      <c r="BX13" s="3"/>
      <c r="BY13" s="9" t="s">
        <v>8</v>
      </c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1"/>
    </row>
    <row r="14" spans="3:112" ht="25.8" x14ac:dyDescent="0.5">
      <c r="D14" s="9" t="s">
        <v>9</v>
      </c>
      <c r="E14" s="10"/>
      <c r="F14" s="10"/>
      <c r="G14" s="10"/>
      <c r="H14" s="10"/>
      <c r="I14" s="13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/>
      <c r="AL14" s="2"/>
      <c r="AM14" s="2"/>
      <c r="AN14" s="2"/>
      <c r="AO14" s="9" t="s">
        <v>9</v>
      </c>
      <c r="AP14" s="10"/>
      <c r="AQ14" s="10"/>
      <c r="AR14" s="10"/>
      <c r="AS14" s="10"/>
      <c r="AT14" s="13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1"/>
      <c r="BW14" s="3"/>
      <c r="BX14" s="3"/>
      <c r="BY14" s="9" t="s">
        <v>9</v>
      </c>
      <c r="BZ14" s="10"/>
      <c r="CA14" s="10"/>
      <c r="CB14" s="10"/>
      <c r="CC14" s="10"/>
      <c r="CD14" s="13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1"/>
    </row>
    <row r="15" spans="3:112" ht="25.8" x14ac:dyDescent="0.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/>
      <c r="AL15" s="2"/>
      <c r="AM15" s="2"/>
      <c r="AN15" s="2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1"/>
      <c r="BW15" s="3"/>
      <c r="BX15" s="3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1"/>
    </row>
    <row r="16" spans="3:112" ht="25.8" x14ac:dyDescent="0.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3"/>
      <c r="BX16" s="3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</row>
    <row r="17" spans="4:110" ht="25.8" x14ac:dyDescent="0.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3"/>
      <c r="BX17" s="3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</row>
    <row r="18" spans="4:110" ht="25.8" x14ac:dyDescent="0.5">
      <c r="D18" s="83" t="s">
        <v>11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83" t="s">
        <v>12</v>
      </c>
      <c r="AH18" s="83"/>
      <c r="AI18" s="83"/>
      <c r="AJ18" s="83"/>
      <c r="AK18" s="2"/>
      <c r="AL18" s="2"/>
      <c r="AM18" s="2"/>
      <c r="AN18" s="2"/>
      <c r="AO18" s="83" t="s">
        <v>11</v>
      </c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83" t="s">
        <v>12</v>
      </c>
      <c r="BS18" s="83"/>
      <c r="BT18" s="83"/>
      <c r="BU18" s="83"/>
      <c r="BV18" s="2"/>
      <c r="BW18" s="3"/>
      <c r="BX18" s="3"/>
      <c r="BY18" s="83" t="s">
        <v>11</v>
      </c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83" t="s">
        <v>12</v>
      </c>
      <c r="DC18" s="83"/>
      <c r="DD18" s="83"/>
      <c r="DE18" s="83"/>
      <c r="DF18" s="2"/>
    </row>
    <row r="19" spans="4:110" ht="25.8" x14ac:dyDescent="0.5">
      <c r="D19" s="6" t="s">
        <v>5</v>
      </c>
      <c r="E19" s="7">
        <v>1</v>
      </c>
      <c r="F19" s="7">
        <v>2</v>
      </c>
      <c r="G19" s="7">
        <v>3</v>
      </c>
      <c r="H19" s="7">
        <v>4</v>
      </c>
      <c r="I19" s="7">
        <v>5</v>
      </c>
      <c r="J19" s="7">
        <v>6</v>
      </c>
      <c r="K19" s="7">
        <v>7</v>
      </c>
      <c r="L19" s="7">
        <v>8</v>
      </c>
      <c r="M19" s="7">
        <v>9</v>
      </c>
      <c r="N19" s="7">
        <v>10</v>
      </c>
      <c r="O19" s="7">
        <v>11</v>
      </c>
      <c r="P19" s="7">
        <v>12</v>
      </c>
      <c r="Q19" s="7">
        <v>13</v>
      </c>
      <c r="R19" s="7">
        <v>14</v>
      </c>
      <c r="S19" s="7">
        <v>15</v>
      </c>
      <c r="T19" s="7">
        <v>16</v>
      </c>
      <c r="U19" s="7">
        <v>17</v>
      </c>
      <c r="V19" s="7">
        <v>18</v>
      </c>
      <c r="W19" s="7">
        <v>19</v>
      </c>
      <c r="X19" s="7">
        <v>20</v>
      </c>
      <c r="Y19" s="7">
        <v>21</v>
      </c>
      <c r="Z19" s="7">
        <v>22</v>
      </c>
      <c r="AA19" s="7">
        <v>23</v>
      </c>
      <c r="AB19" s="7">
        <v>24</v>
      </c>
      <c r="AC19" s="7">
        <v>25</v>
      </c>
      <c r="AD19" s="7">
        <v>26</v>
      </c>
      <c r="AE19" s="7">
        <v>27</v>
      </c>
      <c r="AF19" s="7">
        <v>28</v>
      </c>
      <c r="AG19" s="7">
        <v>29</v>
      </c>
      <c r="AH19" s="7">
        <v>30</v>
      </c>
      <c r="AI19" s="7">
        <v>31</v>
      </c>
      <c r="AJ19" s="7">
        <v>32</v>
      </c>
      <c r="AK19" s="8" t="s">
        <v>6</v>
      </c>
      <c r="AL19" s="2"/>
      <c r="AM19" s="2"/>
      <c r="AN19" s="2"/>
      <c r="AO19" s="6" t="s">
        <v>5</v>
      </c>
      <c r="AP19" s="7">
        <v>1</v>
      </c>
      <c r="AQ19" s="7">
        <v>2</v>
      </c>
      <c r="AR19" s="7">
        <v>3</v>
      </c>
      <c r="AS19" s="7">
        <v>4</v>
      </c>
      <c r="AT19" s="7">
        <v>5</v>
      </c>
      <c r="AU19" s="7">
        <v>6</v>
      </c>
      <c r="AV19" s="7">
        <v>7</v>
      </c>
      <c r="AW19" s="7">
        <v>8</v>
      </c>
      <c r="AX19" s="7">
        <v>9</v>
      </c>
      <c r="AY19" s="7">
        <v>10</v>
      </c>
      <c r="AZ19" s="7">
        <v>11</v>
      </c>
      <c r="BA19" s="7">
        <v>12</v>
      </c>
      <c r="BB19" s="7">
        <v>13</v>
      </c>
      <c r="BC19" s="7">
        <v>14</v>
      </c>
      <c r="BD19" s="7">
        <v>15</v>
      </c>
      <c r="BE19" s="7">
        <v>16</v>
      </c>
      <c r="BF19" s="7">
        <v>17</v>
      </c>
      <c r="BG19" s="7">
        <v>18</v>
      </c>
      <c r="BH19" s="7">
        <v>19</v>
      </c>
      <c r="BI19" s="7">
        <v>20</v>
      </c>
      <c r="BJ19" s="7">
        <v>21</v>
      </c>
      <c r="BK19" s="7">
        <v>22</v>
      </c>
      <c r="BL19" s="7">
        <v>23</v>
      </c>
      <c r="BM19" s="7">
        <v>24</v>
      </c>
      <c r="BN19" s="7">
        <v>25</v>
      </c>
      <c r="BO19" s="7">
        <v>26</v>
      </c>
      <c r="BP19" s="7">
        <v>27</v>
      </c>
      <c r="BQ19" s="7">
        <v>28</v>
      </c>
      <c r="BR19" s="7">
        <v>29</v>
      </c>
      <c r="BS19" s="7">
        <v>30</v>
      </c>
      <c r="BT19" s="7">
        <v>31</v>
      </c>
      <c r="BU19" s="7">
        <v>32</v>
      </c>
      <c r="BV19" s="8" t="s">
        <v>6</v>
      </c>
      <c r="BW19" s="3"/>
      <c r="BX19" s="3"/>
      <c r="BY19" s="6" t="s">
        <v>5</v>
      </c>
      <c r="BZ19" s="7">
        <v>1</v>
      </c>
      <c r="CA19" s="7">
        <v>2</v>
      </c>
      <c r="CB19" s="7">
        <v>3</v>
      </c>
      <c r="CC19" s="7">
        <v>4</v>
      </c>
      <c r="CD19" s="7">
        <v>5</v>
      </c>
      <c r="CE19" s="7">
        <v>6</v>
      </c>
      <c r="CF19" s="7">
        <v>7</v>
      </c>
      <c r="CG19" s="7">
        <v>8</v>
      </c>
      <c r="CH19" s="7">
        <v>9</v>
      </c>
      <c r="CI19" s="7">
        <v>10</v>
      </c>
      <c r="CJ19" s="7">
        <v>11</v>
      </c>
      <c r="CK19" s="7">
        <v>12</v>
      </c>
      <c r="CL19" s="7">
        <v>13</v>
      </c>
      <c r="CM19" s="7">
        <v>14</v>
      </c>
      <c r="CN19" s="7">
        <v>15</v>
      </c>
      <c r="CO19" s="7">
        <v>16</v>
      </c>
      <c r="CP19" s="7">
        <v>17</v>
      </c>
      <c r="CQ19" s="7">
        <v>18</v>
      </c>
      <c r="CR19" s="7">
        <v>19</v>
      </c>
      <c r="CS19" s="7">
        <v>20</v>
      </c>
      <c r="CT19" s="7">
        <v>21</v>
      </c>
      <c r="CU19" s="7">
        <v>22</v>
      </c>
      <c r="CV19" s="7">
        <v>23</v>
      </c>
      <c r="CW19" s="7">
        <v>24</v>
      </c>
      <c r="CX19" s="7">
        <v>25</v>
      </c>
      <c r="CY19" s="7">
        <v>26</v>
      </c>
      <c r="CZ19" s="7">
        <v>27</v>
      </c>
      <c r="DA19" s="7">
        <v>28</v>
      </c>
      <c r="DB19" s="7">
        <v>29</v>
      </c>
      <c r="DC19" s="7">
        <v>30</v>
      </c>
      <c r="DD19" s="7">
        <v>31</v>
      </c>
      <c r="DE19" s="7">
        <v>32</v>
      </c>
      <c r="DF19" s="8" t="s">
        <v>6</v>
      </c>
    </row>
    <row r="20" spans="4:110" ht="25.8" x14ac:dyDescent="0.5">
      <c r="D20" s="9" t="s">
        <v>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>
        <v>0</v>
      </c>
      <c r="AL20" s="2"/>
      <c r="AM20" s="2"/>
      <c r="AN20" s="2"/>
      <c r="AO20" s="9" t="s">
        <v>7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1">
        <v>0</v>
      </c>
      <c r="BW20" s="3"/>
      <c r="BX20" s="3"/>
      <c r="BY20" s="9" t="s">
        <v>7</v>
      </c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1">
        <v>0</v>
      </c>
    </row>
    <row r="21" spans="4:110" ht="25.8" x14ac:dyDescent="0.5">
      <c r="D21" s="9" t="s">
        <v>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1">
        <v>0</v>
      </c>
      <c r="AL21" s="2"/>
      <c r="AM21" s="2"/>
      <c r="AN21" s="2"/>
      <c r="AO21" s="9" t="s">
        <v>8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1">
        <v>0</v>
      </c>
      <c r="BW21" s="3"/>
      <c r="BX21" s="3"/>
      <c r="BY21" s="9" t="s">
        <v>8</v>
      </c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1">
        <v>0</v>
      </c>
    </row>
    <row r="22" spans="4:110" ht="25.8" x14ac:dyDescent="0.5">
      <c r="D22" s="9" t="s">
        <v>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">
        <v>0</v>
      </c>
      <c r="AL22" s="2"/>
      <c r="AM22" s="2"/>
      <c r="AN22" s="2"/>
      <c r="AO22" s="9" t="s">
        <v>9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1">
        <v>0</v>
      </c>
      <c r="BW22" s="3"/>
      <c r="BX22" s="3"/>
      <c r="BY22" s="9" t="s">
        <v>9</v>
      </c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1">
        <v>0</v>
      </c>
    </row>
    <row r="23" spans="4:110" ht="25.8" x14ac:dyDescent="0.5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1">
        <v>0</v>
      </c>
      <c r="AL23" s="2"/>
      <c r="AM23" s="2"/>
      <c r="AN23" s="2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1">
        <v>0</v>
      </c>
      <c r="BW23" s="3"/>
      <c r="BX23" s="3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1">
        <v>0</v>
      </c>
    </row>
    <row r="24" spans="4:110" ht="25.8" x14ac:dyDescent="0.5">
      <c r="D24" s="12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1">
        <v>0</v>
      </c>
      <c r="AL24" s="2"/>
      <c r="AM24" s="2"/>
      <c r="AN24" s="2"/>
      <c r="AO24" s="12" t="s">
        <v>10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1">
        <v>0</v>
      </c>
      <c r="BW24" s="3"/>
      <c r="BX24" s="3"/>
      <c r="BY24" s="12" t="s">
        <v>10</v>
      </c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1">
        <v>0</v>
      </c>
    </row>
    <row r="25" spans="4:110" ht="25.8" x14ac:dyDescent="0.5">
      <c r="D25" s="9" t="s">
        <v>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1">
        <v>0</v>
      </c>
      <c r="AL25" s="2"/>
      <c r="AM25" s="2"/>
      <c r="AN25" s="2"/>
      <c r="AO25" s="9" t="s">
        <v>7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1">
        <v>0</v>
      </c>
      <c r="BW25" s="3"/>
      <c r="BX25" s="3"/>
      <c r="BY25" s="9" t="s">
        <v>7</v>
      </c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1">
        <v>0</v>
      </c>
    </row>
    <row r="26" spans="4:110" ht="25.8" x14ac:dyDescent="0.5">
      <c r="D26" s="9" t="s">
        <v>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1">
        <v>0</v>
      </c>
      <c r="AL26" s="2"/>
      <c r="AM26" s="2"/>
      <c r="AN26" s="2"/>
      <c r="AO26" s="9" t="s">
        <v>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1">
        <v>0</v>
      </c>
      <c r="BW26" s="3"/>
      <c r="BX26" s="3"/>
      <c r="BY26" s="9" t="s">
        <v>8</v>
      </c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1">
        <v>0</v>
      </c>
    </row>
    <row r="27" spans="4:110" ht="25.8" x14ac:dyDescent="0.5">
      <c r="D27" s="9" t="s">
        <v>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1">
        <v>0</v>
      </c>
      <c r="AL27" s="2"/>
      <c r="AM27" s="2"/>
      <c r="AN27" s="2"/>
      <c r="AO27" s="9" t="s">
        <v>9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1">
        <v>0</v>
      </c>
      <c r="BW27" s="3"/>
      <c r="BX27" s="3"/>
      <c r="BY27" s="9" t="s">
        <v>9</v>
      </c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1">
        <v>0</v>
      </c>
    </row>
    <row r="28" spans="4:110" ht="25.8" x14ac:dyDescent="0.5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1"/>
      <c r="AL28" s="2"/>
      <c r="AM28" s="2"/>
      <c r="AN28" s="2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1"/>
      <c r="BW28" s="3"/>
      <c r="BX28" s="3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1"/>
    </row>
    <row r="29" spans="4:110" ht="25.8" x14ac:dyDescent="0.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3"/>
      <c r="BX29" s="3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spans="4:110" ht="25.8" x14ac:dyDescent="0.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3"/>
      <c r="BX30" s="3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spans="4:110" ht="25.8" x14ac:dyDescent="0.5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3"/>
      <c r="BX31" s="3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spans="4:110" ht="25.8" x14ac:dyDescent="0.5">
      <c r="D32" s="83" t="s">
        <v>13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83" t="s">
        <v>14</v>
      </c>
      <c r="AG32" s="83"/>
      <c r="AH32" s="83"/>
      <c r="AI32" s="83"/>
      <c r="AJ32" s="2"/>
      <c r="AK32" s="2"/>
      <c r="AL32" s="2"/>
      <c r="AM32" s="2"/>
      <c r="AN32" s="2"/>
      <c r="AO32" s="83" t="s">
        <v>13</v>
      </c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83" t="s">
        <v>14</v>
      </c>
      <c r="BR32" s="83"/>
      <c r="BS32" s="83"/>
      <c r="BT32" s="83"/>
      <c r="BU32" s="2"/>
      <c r="BV32" s="2"/>
      <c r="BW32" s="3"/>
      <c r="BX32" s="3"/>
      <c r="BY32" s="83" t="s">
        <v>13</v>
      </c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83" t="s">
        <v>14</v>
      </c>
      <c r="DB32" s="83"/>
      <c r="DC32" s="83"/>
      <c r="DD32" s="83"/>
      <c r="DE32" s="2"/>
      <c r="DF32" s="2"/>
    </row>
    <row r="33" spans="4:110" ht="25.8" x14ac:dyDescent="0.5">
      <c r="D33" s="6" t="s">
        <v>5</v>
      </c>
      <c r="E33" s="7">
        <v>1</v>
      </c>
      <c r="F33" s="7">
        <v>2</v>
      </c>
      <c r="G33" s="7">
        <v>3</v>
      </c>
      <c r="H33" s="7">
        <v>4</v>
      </c>
      <c r="I33" s="7">
        <v>5</v>
      </c>
      <c r="J33" s="7">
        <v>6</v>
      </c>
      <c r="K33" s="7">
        <v>7</v>
      </c>
      <c r="L33" s="7">
        <v>8</v>
      </c>
      <c r="M33" s="7">
        <v>9</v>
      </c>
      <c r="N33" s="7">
        <v>10</v>
      </c>
      <c r="O33" s="7">
        <v>11</v>
      </c>
      <c r="P33" s="7">
        <v>12</v>
      </c>
      <c r="Q33" s="7">
        <v>13</v>
      </c>
      <c r="R33" s="7">
        <v>14</v>
      </c>
      <c r="S33" s="7">
        <v>15</v>
      </c>
      <c r="T33" s="7">
        <v>16</v>
      </c>
      <c r="U33" s="7">
        <v>17</v>
      </c>
      <c r="V33" s="7">
        <v>18</v>
      </c>
      <c r="W33" s="7">
        <v>19</v>
      </c>
      <c r="X33" s="7">
        <v>20</v>
      </c>
      <c r="Y33" s="7">
        <v>21</v>
      </c>
      <c r="Z33" s="7">
        <v>22</v>
      </c>
      <c r="AA33" s="7">
        <v>23</v>
      </c>
      <c r="AB33" s="7">
        <v>24</v>
      </c>
      <c r="AC33" s="7">
        <v>25</v>
      </c>
      <c r="AD33" s="7">
        <v>26</v>
      </c>
      <c r="AE33" s="7">
        <v>27</v>
      </c>
      <c r="AF33" s="7">
        <v>28</v>
      </c>
      <c r="AG33" s="7">
        <v>29</v>
      </c>
      <c r="AH33" s="7">
        <v>30</v>
      </c>
      <c r="AI33" s="7">
        <v>31</v>
      </c>
      <c r="AJ33" s="7">
        <v>32</v>
      </c>
      <c r="AK33" s="8" t="s">
        <v>6</v>
      </c>
      <c r="AL33" s="2"/>
      <c r="AM33" s="2"/>
      <c r="AN33" s="2"/>
      <c r="AO33" s="6" t="s">
        <v>5</v>
      </c>
      <c r="AP33" s="7">
        <v>1</v>
      </c>
      <c r="AQ33" s="7">
        <v>2</v>
      </c>
      <c r="AR33" s="7">
        <v>3</v>
      </c>
      <c r="AS33" s="7">
        <v>4</v>
      </c>
      <c r="AT33" s="7">
        <v>5</v>
      </c>
      <c r="AU33" s="7">
        <v>6</v>
      </c>
      <c r="AV33" s="7">
        <v>7</v>
      </c>
      <c r="AW33" s="7">
        <v>8</v>
      </c>
      <c r="AX33" s="7">
        <v>9</v>
      </c>
      <c r="AY33" s="7">
        <v>10</v>
      </c>
      <c r="AZ33" s="7">
        <v>11</v>
      </c>
      <c r="BA33" s="7">
        <v>12</v>
      </c>
      <c r="BB33" s="7">
        <v>13</v>
      </c>
      <c r="BC33" s="7">
        <v>14</v>
      </c>
      <c r="BD33" s="7">
        <v>15</v>
      </c>
      <c r="BE33" s="7">
        <v>16</v>
      </c>
      <c r="BF33" s="7">
        <v>17</v>
      </c>
      <c r="BG33" s="7">
        <v>18</v>
      </c>
      <c r="BH33" s="7">
        <v>19</v>
      </c>
      <c r="BI33" s="7">
        <v>20</v>
      </c>
      <c r="BJ33" s="7">
        <v>21</v>
      </c>
      <c r="BK33" s="7">
        <v>22</v>
      </c>
      <c r="BL33" s="7">
        <v>23</v>
      </c>
      <c r="BM33" s="7">
        <v>24</v>
      </c>
      <c r="BN33" s="7">
        <v>25</v>
      </c>
      <c r="BO33" s="7">
        <v>26</v>
      </c>
      <c r="BP33" s="7">
        <v>27</v>
      </c>
      <c r="BQ33" s="7">
        <v>28</v>
      </c>
      <c r="BR33" s="7">
        <v>29</v>
      </c>
      <c r="BS33" s="7">
        <v>30</v>
      </c>
      <c r="BT33" s="7">
        <v>31</v>
      </c>
      <c r="BU33" s="7">
        <v>32</v>
      </c>
      <c r="BV33" s="8" t="s">
        <v>6</v>
      </c>
      <c r="BW33" s="3"/>
      <c r="BX33" s="3"/>
      <c r="BY33" s="6" t="s">
        <v>5</v>
      </c>
      <c r="BZ33" s="7">
        <v>1</v>
      </c>
      <c r="CA33" s="7">
        <v>2</v>
      </c>
      <c r="CB33" s="7">
        <v>3</v>
      </c>
      <c r="CC33" s="7">
        <v>4</v>
      </c>
      <c r="CD33" s="7">
        <v>5</v>
      </c>
      <c r="CE33" s="7">
        <v>6</v>
      </c>
      <c r="CF33" s="7">
        <v>7</v>
      </c>
      <c r="CG33" s="7">
        <v>8</v>
      </c>
      <c r="CH33" s="7">
        <v>9</v>
      </c>
      <c r="CI33" s="7">
        <v>10</v>
      </c>
      <c r="CJ33" s="7">
        <v>11</v>
      </c>
      <c r="CK33" s="7">
        <v>12</v>
      </c>
      <c r="CL33" s="7">
        <v>13</v>
      </c>
      <c r="CM33" s="7">
        <v>14</v>
      </c>
      <c r="CN33" s="7">
        <v>15</v>
      </c>
      <c r="CO33" s="7">
        <v>16</v>
      </c>
      <c r="CP33" s="7">
        <v>17</v>
      </c>
      <c r="CQ33" s="7">
        <v>18</v>
      </c>
      <c r="CR33" s="7">
        <v>19</v>
      </c>
      <c r="CS33" s="7">
        <v>20</v>
      </c>
      <c r="CT33" s="7">
        <v>21</v>
      </c>
      <c r="CU33" s="7">
        <v>22</v>
      </c>
      <c r="CV33" s="7">
        <v>23</v>
      </c>
      <c r="CW33" s="7">
        <v>24</v>
      </c>
      <c r="CX33" s="7">
        <v>25</v>
      </c>
      <c r="CY33" s="7">
        <v>26</v>
      </c>
      <c r="CZ33" s="7">
        <v>27</v>
      </c>
      <c r="DA33" s="7">
        <v>28</v>
      </c>
      <c r="DB33" s="7">
        <v>29</v>
      </c>
      <c r="DC33" s="7">
        <v>30</v>
      </c>
      <c r="DD33" s="7">
        <v>31</v>
      </c>
      <c r="DE33" s="7">
        <v>32</v>
      </c>
      <c r="DF33" s="8" t="s">
        <v>6</v>
      </c>
    </row>
    <row r="34" spans="4:110" ht="25.8" x14ac:dyDescent="0.5">
      <c r="D34" s="9" t="s">
        <v>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1">
        <v>0</v>
      </c>
      <c r="AL34" s="2"/>
      <c r="AM34" s="2"/>
      <c r="AN34" s="2"/>
      <c r="AO34" s="9" t="s">
        <v>7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1">
        <v>0</v>
      </c>
      <c r="BW34" s="3"/>
      <c r="BX34" s="3"/>
      <c r="BY34" s="9" t="s">
        <v>7</v>
      </c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1">
        <v>0</v>
      </c>
    </row>
    <row r="35" spans="4:110" ht="25.8" x14ac:dyDescent="0.5">
      <c r="D35" s="9" t="s">
        <v>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1">
        <v>0</v>
      </c>
      <c r="AL35" s="2"/>
      <c r="AM35" s="2"/>
      <c r="AN35" s="2"/>
      <c r="AO35" s="9" t="s">
        <v>8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1">
        <v>0</v>
      </c>
      <c r="BW35" s="3"/>
      <c r="BX35" s="3"/>
      <c r="BY35" s="9" t="s">
        <v>8</v>
      </c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1">
        <v>0</v>
      </c>
    </row>
    <row r="36" spans="4:110" ht="25.8" x14ac:dyDescent="0.5">
      <c r="D36" s="9" t="s">
        <v>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1">
        <v>0</v>
      </c>
      <c r="AL36" s="2"/>
      <c r="AM36" s="2"/>
      <c r="AN36" s="2"/>
      <c r="AO36" s="9" t="s">
        <v>9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1">
        <v>0</v>
      </c>
      <c r="BW36" s="3"/>
      <c r="BX36" s="3"/>
      <c r="BY36" s="9" t="s">
        <v>9</v>
      </c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1">
        <v>0</v>
      </c>
    </row>
    <row r="37" spans="4:110" ht="25.8" x14ac:dyDescent="0.5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1">
        <v>0</v>
      </c>
      <c r="AL37" s="2"/>
      <c r="AM37" s="2"/>
      <c r="AN37" s="2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1">
        <v>0</v>
      </c>
      <c r="BW37" s="3"/>
      <c r="BX37" s="3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1">
        <v>0</v>
      </c>
    </row>
    <row r="38" spans="4:110" ht="25.8" x14ac:dyDescent="0.5">
      <c r="D38" s="12" t="s">
        <v>10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1">
        <v>0</v>
      </c>
      <c r="AL38" s="2"/>
      <c r="AM38" s="2"/>
      <c r="AN38" s="2"/>
      <c r="AO38" s="12" t="s">
        <v>10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1">
        <v>0</v>
      </c>
      <c r="BW38" s="3"/>
      <c r="BX38" s="3"/>
      <c r="BY38" s="12" t="s">
        <v>10</v>
      </c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1">
        <v>0</v>
      </c>
    </row>
    <row r="39" spans="4:110" ht="25.8" x14ac:dyDescent="0.5">
      <c r="D39" s="9" t="s">
        <v>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1">
        <v>0</v>
      </c>
      <c r="AL39" s="2"/>
      <c r="AM39" s="2"/>
      <c r="AN39" s="2"/>
      <c r="AO39" s="9" t="s">
        <v>7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1">
        <v>0</v>
      </c>
      <c r="BW39" s="3"/>
      <c r="BX39" s="3"/>
      <c r="BY39" s="9" t="s">
        <v>7</v>
      </c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1">
        <v>0</v>
      </c>
    </row>
    <row r="40" spans="4:110" ht="25.8" x14ac:dyDescent="0.5">
      <c r="D40" s="9" t="s">
        <v>8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1">
        <v>0</v>
      </c>
      <c r="AL40" s="2"/>
      <c r="AM40" s="2"/>
      <c r="AN40" s="2"/>
      <c r="AO40" s="9" t="s">
        <v>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1">
        <v>0</v>
      </c>
      <c r="BW40" s="3"/>
      <c r="BX40" s="3"/>
      <c r="BY40" s="9" t="s">
        <v>8</v>
      </c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1">
        <v>0</v>
      </c>
    </row>
    <row r="41" spans="4:110" ht="25.8" x14ac:dyDescent="0.5"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1"/>
      <c r="AL41" s="2"/>
      <c r="AM41" s="2"/>
      <c r="AN41" s="2"/>
      <c r="AO41" s="9" t="s">
        <v>9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1"/>
      <c r="BW41" s="3"/>
      <c r="BX41" s="3"/>
      <c r="BY41" s="9" t="s">
        <v>9</v>
      </c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1"/>
    </row>
    <row r="42" spans="4:110" ht="25.8" x14ac:dyDescent="0.5"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1"/>
      <c r="AL42" s="2"/>
      <c r="AM42" s="2"/>
      <c r="AN42" s="2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1"/>
      <c r="BW42" s="3"/>
      <c r="BX42" s="3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1"/>
    </row>
    <row r="43" spans="4:110" ht="25.8" x14ac:dyDescent="0.5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3"/>
      <c r="BX43" s="3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spans="4:110" ht="25.8" x14ac:dyDescent="0.5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3"/>
      <c r="BX44" s="3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spans="4:110" ht="25.8" x14ac:dyDescent="0.5">
      <c r="D45" s="83" t="s">
        <v>15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3" t="s">
        <v>16</v>
      </c>
      <c r="AG45" s="83"/>
      <c r="AH45" s="83"/>
      <c r="AI45" s="83"/>
      <c r="AJ45" s="2"/>
      <c r="AK45" s="2"/>
      <c r="AL45" s="2"/>
      <c r="AM45" s="2"/>
      <c r="AN45" s="2"/>
      <c r="AO45" s="83" t="s">
        <v>15</v>
      </c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83" t="s">
        <v>16</v>
      </c>
      <c r="BR45" s="83"/>
      <c r="BS45" s="83"/>
      <c r="BT45" s="83"/>
      <c r="BU45" s="2"/>
      <c r="BV45" s="2"/>
      <c r="BW45" s="3"/>
      <c r="BX45" s="3"/>
      <c r="BY45" s="83" t="s">
        <v>15</v>
      </c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83" t="s">
        <v>16</v>
      </c>
      <c r="DB45" s="83"/>
      <c r="DC45" s="83"/>
      <c r="DD45" s="83"/>
      <c r="DE45" s="2"/>
      <c r="DF45" s="2"/>
    </row>
    <row r="46" spans="4:110" ht="25.8" x14ac:dyDescent="0.5">
      <c r="D46" s="6" t="s">
        <v>5</v>
      </c>
      <c r="E46" s="7">
        <v>1</v>
      </c>
      <c r="F46" s="7">
        <v>2</v>
      </c>
      <c r="G46" s="7">
        <v>3</v>
      </c>
      <c r="H46" s="7">
        <v>4</v>
      </c>
      <c r="I46" s="7">
        <v>5</v>
      </c>
      <c r="J46" s="7">
        <v>6</v>
      </c>
      <c r="K46" s="7">
        <v>7</v>
      </c>
      <c r="L46" s="7">
        <v>8</v>
      </c>
      <c r="M46" s="7">
        <v>9</v>
      </c>
      <c r="N46" s="7">
        <v>10</v>
      </c>
      <c r="O46" s="7">
        <v>11</v>
      </c>
      <c r="P46" s="7">
        <v>12</v>
      </c>
      <c r="Q46" s="7">
        <v>13</v>
      </c>
      <c r="R46" s="7">
        <v>14</v>
      </c>
      <c r="S46" s="7">
        <v>15</v>
      </c>
      <c r="T46" s="7">
        <v>16</v>
      </c>
      <c r="U46" s="7">
        <v>17</v>
      </c>
      <c r="V46" s="7">
        <v>18</v>
      </c>
      <c r="W46" s="7">
        <v>19</v>
      </c>
      <c r="X46" s="7">
        <v>20</v>
      </c>
      <c r="Y46" s="7">
        <v>21</v>
      </c>
      <c r="Z46" s="7">
        <v>22</v>
      </c>
      <c r="AA46" s="7">
        <v>23</v>
      </c>
      <c r="AB46" s="7">
        <v>24</v>
      </c>
      <c r="AC46" s="7">
        <v>25</v>
      </c>
      <c r="AD46" s="7">
        <v>26</v>
      </c>
      <c r="AE46" s="7">
        <v>27</v>
      </c>
      <c r="AF46" s="7">
        <v>28</v>
      </c>
      <c r="AG46" s="7">
        <v>29</v>
      </c>
      <c r="AH46" s="7">
        <v>30</v>
      </c>
      <c r="AI46" s="7">
        <v>31</v>
      </c>
      <c r="AJ46" s="7">
        <v>32</v>
      </c>
      <c r="AK46" s="8" t="s">
        <v>6</v>
      </c>
      <c r="AL46" s="2"/>
      <c r="AM46" s="2"/>
      <c r="AN46" s="2"/>
      <c r="AO46" s="6" t="s">
        <v>5</v>
      </c>
      <c r="AP46" s="7">
        <v>1</v>
      </c>
      <c r="AQ46" s="7">
        <v>2</v>
      </c>
      <c r="AR46" s="7">
        <v>3</v>
      </c>
      <c r="AS46" s="7">
        <v>4</v>
      </c>
      <c r="AT46" s="7">
        <v>5</v>
      </c>
      <c r="AU46" s="7">
        <v>6</v>
      </c>
      <c r="AV46" s="7">
        <v>7</v>
      </c>
      <c r="AW46" s="7">
        <v>8</v>
      </c>
      <c r="AX46" s="7">
        <v>9</v>
      </c>
      <c r="AY46" s="7">
        <v>10</v>
      </c>
      <c r="AZ46" s="7">
        <v>11</v>
      </c>
      <c r="BA46" s="7">
        <v>12</v>
      </c>
      <c r="BB46" s="7">
        <v>13</v>
      </c>
      <c r="BC46" s="7">
        <v>14</v>
      </c>
      <c r="BD46" s="7">
        <v>15</v>
      </c>
      <c r="BE46" s="7">
        <v>16</v>
      </c>
      <c r="BF46" s="7">
        <v>17</v>
      </c>
      <c r="BG46" s="7">
        <v>18</v>
      </c>
      <c r="BH46" s="7">
        <v>19</v>
      </c>
      <c r="BI46" s="7">
        <v>20</v>
      </c>
      <c r="BJ46" s="7">
        <v>21</v>
      </c>
      <c r="BK46" s="7">
        <v>22</v>
      </c>
      <c r="BL46" s="7">
        <v>23</v>
      </c>
      <c r="BM46" s="7">
        <v>24</v>
      </c>
      <c r="BN46" s="7">
        <v>25</v>
      </c>
      <c r="BO46" s="7">
        <v>26</v>
      </c>
      <c r="BP46" s="7">
        <v>27</v>
      </c>
      <c r="BQ46" s="7">
        <v>28</v>
      </c>
      <c r="BR46" s="7">
        <v>29</v>
      </c>
      <c r="BS46" s="7">
        <v>30</v>
      </c>
      <c r="BT46" s="7">
        <v>31</v>
      </c>
      <c r="BU46" s="7">
        <v>32</v>
      </c>
      <c r="BV46" s="8" t="s">
        <v>6</v>
      </c>
      <c r="BW46" s="3"/>
      <c r="BX46" s="3"/>
      <c r="BY46" s="6" t="s">
        <v>5</v>
      </c>
      <c r="BZ46" s="7">
        <v>1</v>
      </c>
      <c r="CA46" s="7">
        <v>2</v>
      </c>
      <c r="CB46" s="7">
        <v>3</v>
      </c>
      <c r="CC46" s="7">
        <v>4</v>
      </c>
      <c r="CD46" s="7">
        <v>5</v>
      </c>
      <c r="CE46" s="7">
        <v>6</v>
      </c>
      <c r="CF46" s="7">
        <v>7</v>
      </c>
      <c r="CG46" s="7">
        <v>8</v>
      </c>
      <c r="CH46" s="7">
        <v>9</v>
      </c>
      <c r="CI46" s="7">
        <v>10</v>
      </c>
      <c r="CJ46" s="7">
        <v>11</v>
      </c>
      <c r="CK46" s="7">
        <v>12</v>
      </c>
      <c r="CL46" s="7">
        <v>13</v>
      </c>
      <c r="CM46" s="7">
        <v>14</v>
      </c>
      <c r="CN46" s="7">
        <v>15</v>
      </c>
      <c r="CO46" s="7">
        <v>16</v>
      </c>
      <c r="CP46" s="7">
        <v>17</v>
      </c>
      <c r="CQ46" s="7">
        <v>18</v>
      </c>
      <c r="CR46" s="7">
        <v>19</v>
      </c>
      <c r="CS46" s="7">
        <v>20</v>
      </c>
      <c r="CT46" s="7">
        <v>21</v>
      </c>
      <c r="CU46" s="7">
        <v>22</v>
      </c>
      <c r="CV46" s="7">
        <v>23</v>
      </c>
      <c r="CW46" s="7">
        <v>24</v>
      </c>
      <c r="CX46" s="7">
        <v>25</v>
      </c>
      <c r="CY46" s="7">
        <v>26</v>
      </c>
      <c r="CZ46" s="7">
        <v>27</v>
      </c>
      <c r="DA46" s="7">
        <v>28</v>
      </c>
      <c r="DB46" s="7">
        <v>29</v>
      </c>
      <c r="DC46" s="7">
        <v>30</v>
      </c>
      <c r="DD46" s="7">
        <v>31</v>
      </c>
      <c r="DE46" s="7">
        <v>32</v>
      </c>
      <c r="DF46" s="8" t="s">
        <v>6</v>
      </c>
    </row>
    <row r="47" spans="4:110" ht="25.8" x14ac:dyDescent="0.5">
      <c r="D47" s="9" t="s">
        <v>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1">
        <v>0</v>
      </c>
      <c r="AL47" s="2"/>
      <c r="AM47" s="2"/>
      <c r="AN47" s="2"/>
      <c r="AO47" s="9" t="s">
        <v>7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1">
        <v>0</v>
      </c>
      <c r="BW47" s="3"/>
      <c r="BX47" s="3"/>
      <c r="BY47" s="9" t="s">
        <v>7</v>
      </c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1">
        <v>0</v>
      </c>
    </row>
    <row r="48" spans="4:110" ht="25.8" x14ac:dyDescent="0.5">
      <c r="D48" s="9" t="s">
        <v>8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1">
        <v>0</v>
      </c>
      <c r="AL48" s="2"/>
      <c r="AM48" s="2"/>
      <c r="AN48" s="2"/>
      <c r="AO48" s="9" t="s">
        <v>8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1">
        <v>0</v>
      </c>
      <c r="BW48" s="3"/>
      <c r="BX48" s="3"/>
      <c r="BY48" s="9" t="s">
        <v>8</v>
      </c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1">
        <v>0</v>
      </c>
    </row>
    <row r="49" spans="4:110" ht="25.8" x14ac:dyDescent="0.5">
      <c r="D49" s="9" t="s">
        <v>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1">
        <v>0</v>
      </c>
      <c r="AL49" s="2"/>
      <c r="AM49" s="2"/>
      <c r="AN49" s="2"/>
      <c r="AO49" s="9" t="s">
        <v>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1">
        <v>0</v>
      </c>
      <c r="BW49" s="3"/>
      <c r="BX49" s="3"/>
      <c r="BY49" s="9" t="s">
        <v>9</v>
      </c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1">
        <v>0</v>
      </c>
    </row>
    <row r="50" spans="4:110" ht="25.8" x14ac:dyDescent="0.5"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1">
        <v>0</v>
      </c>
      <c r="AL50" s="3"/>
      <c r="AM50" s="3"/>
      <c r="AN50" s="3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1">
        <v>0</v>
      </c>
      <c r="BW50" s="3"/>
      <c r="BX50" s="3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1">
        <v>0</v>
      </c>
    </row>
    <row r="51" spans="4:110" ht="25.8" x14ac:dyDescent="0.5">
      <c r="D51" s="12" t="s">
        <v>10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1">
        <v>0</v>
      </c>
      <c r="AL51" s="3"/>
      <c r="AM51" s="3"/>
      <c r="AN51" s="3"/>
      <c r="AO51" s="12" t="s">
        <v>10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1">
        <v>0</v>
      </c>
      <c r="BW51" s="3"/>
      <c r="BX51" s="3"/>
      <c r="BY51" s="12" t="s">
        <v>10</v>
      </c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1">
        <v>0</v>
      </c>
    </row>
    <row r="52" spans="4:110" ht="25.8" x14ac:dyDescent="0.5">
      <c r="D52" s="9" t="s">
        <v>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1">
        <v>0</v>
      </c>
      <c r="AL52" s="3"/>
      <c r="AM52" s="3"/>
      <c r="AN52" s="3"/>
      <c r="AO52" s="9" t="s">
        <v>7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1">
        <v>0</v>
      </c>
      <c r="BW52" s="3"/>
      <c r="BX52" s="3"/>
      <c r="BY52" s="9" t="s">
        <v>7</v>
      </c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1">
        <v>0</v>
      </c>
    </row>
    <row r="53" spans="4:110" ht="25.8" x14ac:dyDescent="0.5">
      <c r="D53" s="9" t="s">
        <v>8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1">
        <v>0</v>
      </c>
      <c r="AL53" s="3"/>
      <c r="AM53" s="3"/>
      <c r="AN53" s="3"/>
      <c r="AO53" s="9" t="s">
        <v>8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1">
        <v>0</v>
      </c>
      <c r="BW53" s="3"/>
      <c r="BX53" s="3"/>
      <c r="BY53" s="9" t="s">
        <v>8</v>
      </c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1">
        <v>0</v>
      </c>
    </row>
    <row r="54" spans="4:110" ht="25.8" x14ac:dyDescent="0.5">
      <c r="D54" s="9" t="s">
        <v>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1">
        <v>0</v>
      </c>
      <c r="AL54" s="3"/>
      <c r="AM54" s="3"/>
      <c r="AN54" s="3"/>
      <c r="AO54" s="9" t="s">
        <v>9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1">
        <v>0</v>
      </c>
      <c r="BW54" s="3"/>
      <c r="BX54" s="3"/>
      <c r="BY54" s="9" t="s">
        <v>9</v>
      </c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1">
        <v>0</v>
      </c>
    </row>
    <row r="55" spans="4:110" ht="25.8" x14ac:dyDescent="0.5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1"/>
      <c r="AL55" s="3"/>
      <c r="AM55" s="3"/>
      <c r="AN55" s="3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1"/>
      <c r="BW55" s="3"/>
      <c r="BX55" s="3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1"/>
    </row>
  </sheetData>
  <mergeCells count="30">
    <mergeCell ref="AP3:BS3"/>
    <mergeCell ref="AO4:AW4"/>
    <mergeCell ref="AO5:AW5"/>
    <mergeCell ref="AO18:BB18"/>
    <mergeCell ref="AO32:BC32"/>
    <mergeCell ref="BR18:BU18"/>
    <mergeCell ref="BO5:BR5"/>
    <mergeCell ref="BQ32:BT32"/>
    <mergeCell ref="BZ3:DC3"/>
    <mergeCell ref="BY4:CG4"/>
    <mergeCell ref="BY5:CG5"/>
    <mergeCell ref="BY18:CL18"/>
    <mergeCell ref="BY32:CM32"/>
    <mergeCell ref="DB18:DE18"/>
    <mergeCell ref="CY5:DB5"/>
    <mergeCell ref="DA32:DD32"/>
    <mergeCell ref="AG18:AJ18"/>
    <mergeCell ref="AF32:AI32"/>
    <mergeCell ref="AF45:AI45"/>
    <mergeCell ref="E3:AH3"/>
    <mergeCell ref="D4:L4"/>
    <mergeCell ref="D5:L5"/>
    <mergeCell ref="D18:Q18"/>
    <mergeCell ref="D32:R32"/>
    <mergeCell ref="AD5:AG5"/>
    <mergeCell ref="BQ45:BT45"/>
    <mergeCell ref="DA45:DD45"/>
    <mergeCell ref="D45:R45"/>
    <mergeCell ref="AO45:BC45"/>
    <mergeCell ref="BY45:CM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5"/>
  <sheetViews>
    <sheetView zoomScaleNormal="100" workbookViewId="0">
      <selection activeCell="E83" sqref="E83"/>
    </sheetView>
  </sheetViews>
  <sheetFormatPr defaultRowHeight="14.4" x14ac:dyDescent="0.3"/>
  <cols>
    <col min="1" max="1" width="14.88671875" customWidth="1"/>
    <col min="2" max="2" width="31.44140625" bestFit="1" customWidth="1"/>
    <col min="3" max="3" width="10.6640625" bestFit="1" customWidth="1"/>
    <col min="4" max="4" width="13.88671875" bestFit="1" customWidth="1"/>
    <col min="6" max="6" width="15.6640625" customWidth="1"/>
    <col min="8" max="8" width="0.44140625" customWidth="1"/>
  </cols>
  <sheetData>
    <row r="3" spans="1:9" ht="31.2" x14ac:dyDescent="0.6">
      <c r="B3" s="14" t="s">
        <v>17</v>
      </c>
    </row>
    <row r="5" spans="1:9" ht="18" x14ac:dyDescent="0.35">
      <c r="E5" s="88" t="s">
        <v>18</v>
      </c>
      <c r="F5" s="88"/>
      <c r="G5" s="88"/>
      <c r="H5" s="88"/>
    </row>
    <row r="7" spans="1:9" x14ac:dyDescent="0.3">
      <c r="A7" s="15" t="s">
        <v>19</v>
      </c>
      <c r="B7" s="16" t="s">
        <v>20</v>
      </c>
      <c r="C7" s="17" t="s">
        <v>21</v>
      </c>
      <c r="D7" s="18" t="s">
        <v>22</v>
      </c>
      <c r="E7" s="19"/>
      <c r="F7" s="20"/>
      <c r="G7" s="21" t="s">
        <v>23</v>
      </c>
      <c r="H7" s="22"/>
      <c r="I7" s="22"/>
    </row>
    <row r="8" spans="1:9" x14ac:dyDescent="0.3">
      <c r="A8" s="23" t="s">
        <v>24</v>
      </c>
      <c r="B8" s="24" t="s">
        <v>25</v>
      </c>
      <c r="C8" s="24"/>
      <c r="D8" s="25"/>
      <c r="E8" s="26"/>
      <c r="F8" s="27"/>
      <c r="G8" s="28" t="s">
        <v>26</v>
      </c>
      <c r="H8" s="22"/>
      <c r="I8" s="22"/>
    </row>
    <row r="9" spans="1:9" x14ac:dyDescent="0.3">
      <c r="A9" s="29" t="s">
        <v>27</v>
      </c>
      <c r="B9" s="30"/>
      <c r="C9" s="29"/>
      <c r="D9" s="25"/>
      <c r="E9" s="26"/>
      <c r="F9" s="27"/>
      <c r="G9" s="28" t="s">
        <v>26</v>
      </c>
      <c r="H9" s="22"/>
      <c r="I9" s="22"/>
    </row>
    <row r="10" spans="1:9" x14ac:dyDescent="0.3">
      <c r="A10" s="29" t="s">
        <v>28</v>
      </c>
      <c r="B10" s="24"/>
      <c r="C10" s="29"/>
      <c r="D10" s="31"/>
      <c r="E10" s="26"/>
      <c r="F10" s="27"/>
      <c r="G10" s="28" t="s">
        <v>26</v>
      </c>
      <c r="H10" s="22"/>
      <c r="I10" s="22"/>
    </row>
    <row r="11" spans="1:9" x14ac:dyDescent="0.3">
      <c r="A11" s="29" t="s">
        <v>29</v>
      </c>
      <c r="B11" s="30"/>
      <c r="C11" s="29"/>
      <c r="D11" s="31"/>
      <c r="E11" s="26"/>
      <c r="F11" s="27"/>
      <c r="G11" s="28" t="s">
        <v>26</v>
      </c>
      <c r="H11" s="22"/>
      <c r="I11" s="22"/>
    </row>
    <row r="12" spans="1:9" x14ac:dyDescent="0.3">
      <c r="A12" s="29" t="s">
        <v>30</v>
      </c>
      <c r="B12" s="24"/>
      <c r="C12" s="29"/>
      <c r="D12" s="31"/>
      <c r="E12" s="26"/>
      <c r="F12" s="27"/>
      <c r="G12" s="28" t="s">
        <v>26</v>
      </c>
      <c r="H12" s="22"/>
      <c r="I12" s="22"/>
    </row>
    <row r="13" spans="1:9" x14ac:dyDescent="0.3">
      <c r="A13" s="29" t="s">
        <v>31</v>
      </c>
      <c r="B13" s="32"/>
      <c r="C13" s="29"/>
      <c r="D13" s="31"/>
      <c r="E13" s="26"/>
      <c r="F13" s="27"/>
      <c r="G13" s="28" t="s">
        <v>26</v>
      </c>
      <c r="H13" s="22"/>
      <c r="I13" s="22"/>
    </row>
    <row r="14" spans="1:9" x14ac:dyDescent="0.3">
      <c r="A14" s="29" t="s">
        <v>32</v>
      </c>
      <c r="B14" s="30"/>
      <c r="C14" s="29"/>
      <c r="D14" s="31"/>
      <c r="E14" s="26"/>
      <c r="F14" s="27"/>
      <c r="G14" s="28" t="s">
        <v>26</v>
      </c>
      <c r="H14" s="22"/>
      <c r="I14" s="22"/>
    </row>
    <row r="15" spans="1:9" x14ac:dyDescent="0.3">
      <c r="A15" s="29" t="s">
        <v>33</v>
      </c>
      <c r="B15" s="30"/>
      <c r="C15" s="29"/>
      <c r="D15" s="31"/>
      <c r="E15" s="26"/>
      <c r="F15" s="27"/>
      <c r="G15" s="28" t="s">
        <v>26</v>
      </c>
      <c r="H15" s="22"/>
      <c r="I15" s="22"/>
    </row>
    <row r="16" spans="1:9" x14ac:dyDescent="0.3">
      <c r="A16" s="29" t="s">
        <v>34</v>
      </c>
      <c r="B16" s="33"/>
      <c r="C16" s="34"/>
      <c r="D16" s="35"/>
      <c r="E16" s="36"/>
      <c r="F16" s="37"/>
      <c r="G16" s="28" t="s">
        <v>26</v>
      </c>
      <c r="H16" s="22"/>
      <c r="I16" s="22"/>
    </row>
    <row r="17" spans="1:9" x14ac:dyDescent="0.3">
      <c r="A17" s="29" t="s">
        <v>35</v>
      </c>
      <c r="B17" s="24"/>
      <c r="C17" s="29"/>
      <c r="D17" s="31"/>
      <c r="E17" s="26"/>
      <c r="F17" s="27"/>
      <c r="G17" s="28" t="s">
        <v>26</v>
      </c>
      <c r="H17" s="22"/>
      <c r="I17" s="22"/>
    </row>
    <row r="18" spans="1:9" x14ac:dyDescent="0.3">
      <c r="A18" s="29" t="s">
        <v>36</v>
      </c>
      <c r="B18" s="33"/>
      <c r="C18" s="34"/>
      <c r="D18" s="35"/>
      <c r="E18" s="36"/>
      <c r="F18" s="37"/>
      <c r="G18" s="28" t="s">
        <v>26</v>
      </c>
      <c r="H18" s="22"/>
      <c r="I18" s="22"/>
    </row>
    <row r="19" spans="1:9" x14ac:dyDescent="0.3">
      <c r="A19" s="29" t="s">
        <v>37</v>
      </c>
      <c r="B19" s="30"/>
      <c r="C19" s="38"/>
      <c r="D19" s="31"/>
      <c r="E19" s="26"/>
      <c r="F19" s="27"/>
      <c r="G19" s="28" t="s">
        <v>26</v>
      </c>
      <c r="H19" s="22"/>
      <c r="I19" s="22"/>
    </row>
    <row r="20" spans="1:9" x14ac:dyDescent="0.3">
      <c r="A20" s="29" t="s">
        <v>38</v>
      </c>
      <c r="B20" s="24"/>
      <c r="C20" s="29"/>
      <c r="D20" s="31"/>
      <c r="E20" s="26"/>
      <c r="F20" s="27"/>
      <c r="G20" s="28" t="s">
        <v>26</v>
      </c>
      <c r="H20" s="22"/>
      <c r="I20" s="22"/>
    </row>
    <row r="21" spans="1:9" x14ac:dyDescent="0.3">
      <c r="A21" s="29" t="s">
        <v>39</v>
      </c>
      <c r="B21" s="30"/>
      <c r="C21" s="29"/>
      <c r="D21" s="31"/>
      <c r="E21" s="26"/>
      <c r="F21" s="27"/>
      <c r="G21" s="28" t="s">
        <v>26</v>
      </c>
      <c r="H21" s="22"/>
      <c r="I21" s="22"/>
    </row>
    <row r="22" spans="1:9" x14ac:dyDescent="0.3">
      <c r="A22" s="29" t="s">
        <v>40</v>
      </c>
      <c r="B22" s="24"/>
      <c r="C22" s="29"/>
      <c r="D22" s="31"/>
      <c r="E22" s="26"/>
      <c r="F22" s="27"/>
      <c r="G22" s="28" t="s">
        <v>26</v>
      </c>
      <c r="H22" s="22"/>
      <c r="I22" s="22"/>
    </row>
    <row r="23" spans="1:9" x14ac:dyDescent="0.3">
      <c r="A23" s="29" t="s">
        <v>94</v>
      </c>
      <c r="B23" s="24"/>
      <c r="C23" s="29"/>
      <c r="D23" s="31"/>
      <c r="E23" s="26"/>
      <c r="F23" s="27"/>
      <c r="G23" s="28" t="s">
        <v>26</v>
      </c>
      <c r="H23" s="22"/>
      <c r="I23" s="22"/>
    </row>
    <row r="24" spans="1:9" x14ac:dyDescent="0.3">
      <c r="A24" s="29" t="s">
        <v>95</v>
      </c>
      <c r="B24" s="30"/>
      <c r="C24" s="29"/>
      <c r="D24" s="31"/>
      <c r="E24" s="26"/>
      <c r="F24" s="27"/>
      <c r="G24" s="28" t="s">
        <v>26</v>
      </c>
      <c r="H24" s="22"/>
      <c r="I24" s="22"/>
    </row>
    <row r="25" spans="1:9" x14ac:dyDescent="0.3">
      <c r="A25" s="29" t="s">
        <v>96</v>
      </c>
      <c r="B25" s="24"/>
      <c r="C25" s="29"/>
      <c r="D25" s="31"/>
      <c r="E25" s="26"/>
      <c r="F25" s="27"/>
      <c r="G25" s="28" t="s">
        <v>26</v>
      </c>
      <c r="H25" s="22"/>
      <c r="I25" s="22"/>
    </row>
    <row r="26" spans="1:9" x14ac:dyDescent="0.3">
      <c r="A26" s="29" t="s">
        <v>97</v>
      </c>
      <c r="B26" s="29"/>
      <c r="C26" s="29"/>
      <c r="D26" s="31"/>
      <c r="E26" s="26"/>
      <c r="F26" s="27"/>
      <c r="G26" s="28" t="s">
        <v>26</v>
      </c>
      <c r="H26" s="22"/>
      <c r="I26" s="22"/>
    </row>
    <row r="27" spans="1:9" x14ac:dyDescent="0.3">
      <c r="A27" s="29" t="s">
        <v>98</v>
      </c>
      <c r="B27" s="29"/>
      <c r="C27" s="29"/>
      <c r="D27" s="31"/>
      <c r="E27" s="26"/>
      <c r="F27" s="27"/>
      <c r="G27" s="28" t="s">
        <v>26</v>
      </c>
      <c r="H27" s="22"/>
      <c r="I27" s="22"/>
    </row>
    <row r="28" spans="1:9" x14ac:dyDescent="0.3">
      <c r="A28" s="29" t="s">
        <v>99</v>
      </c>
      <c r="B28" s="41"/>
      <c r="C28" s="42"/>
      <c r="D28" s="26"/>
      <c r="E28" s="26"/>
      <c r="F28" s="27"/>
      <c r="G28" s="28" t="s">
        <v>26</v>
      </c>
      <c r="H28" s="22"/>
      <c r="I28" s="22"/>
    </row>
    <row r="29" spans="1:9" x14ac:dyDescent="0.3">
      <c r="A29" s="29" t="s">
        <v>100</v>
      </c>
      <c r="B29" s="31"/>
      <c r="C29" s="26"/>
      <c r="D29" s="26"/>
      <c r="E29" s="26"/>
      <c r="F29" s="27"/>
      <c r="G29" s="28" t="s">
        <v>26</v>
      </c>
      <c r="H29" s="22"/>
      <c r="I29" s="22"/>
    </row>
    <row r="30" spans="1:9" x14ac:dyDescent="0.3">
      <c r="A30" s="29" t="s">
        <v>101</v>
      </c>
      <c r="B30" s="31"/>
      <c r="C30" s="26"/>
      <c r="D30" s="26"/>
      <c r="E30" s="26"/>
      <c r="F30" s="27"/>
      <c r="G30" s="28" t="s">
        <v>26</v>
      </c>
      <c r="H30" s="22"/>
      <c r="I30" s="22"/>
    </row>
    <row r="31" spans="1:9" x14ac:dyDescent="0.3">
      <c r="A31" s="29" t="s">
        <v>102</v>
      </c>
      <c r="B31" s="31"/>
      <c r="C31" s="26"/>
      <c r="D31" s="26"/>
      <c r="E31" s="26"/>
      <c r="F31" s="27"/>
      <c r="G31" s="28" t="s">
        <v>26</v>
      </c>
      <c r="H31" s="22"/>
      <c r="I31" s="22"/>
    </row>
    <row r="32" spans="1:9" x14ac:dyDescent="0.3">
      <c r="A32" s="29" t="s">
        <v>103</v>
      </c>
      <c r="B32" s="31"/>
      <c r="C32" s="26"/>
      <c r="D32" s="26"/>
      <c r="E32" s="26"/>
      <c r="F32" s="27"/>
      <c r="G32" s="28" t="s">
        <v>26</v>
      </c>
      <c r="H32" s="22"/>
      <c r="I32" s="22"/>
    </row>
    <row r="33" spans="1:9" x14ac:dyDescent="0.3">
      <c r="A33" s="29" t="s">
        <v>104</v>
      </c>
      <c r="B33" s="31"/>
      <c r="C33" s="26"/>
      <c r="D33" s="26"/>
      <c r="E33" s="26"/>
      <c r="F33" s="27"/>
      <c r="G33" s="28" t="s">
        <v>26</v>
      </c>
      <c r="H33" s="22"/>
      <c r="I33" s="22"/>
    </row>
    <row r="34" spans="1:9" x14ac:dyDescent="0.3">
      <c r="A34" s="29" t="s">
        <v>105</v>
      </c>
      <c r="B34" s="31"/>
      <c r="C34" s="26"/>
      <c r="D34" s="26"/>
      <c r="E34" s="26"/>
      <c r="F34" s="27"/>
      <c r="G34" s="28" t="s">
        <v>26</v>
      </c>
      <c r="H34" s="22"/>
      <c r="I34" s="22"/>
    </row>
    <row r="35" spans="1:9" x14ac:dyDescent="0.3">
      <c r="A35" s="29" t="s">
        <v>106</v>
      </c>
      <c r="B35" s="31"/>
      <c r="C35" s="26"/>
      <c r="D35" s="26"/>
      <c r="E35" s="26"/>
      <c r="F35" s="27"/>
      <c r="G35" s="28" t="s">
        <v>26</v>
      </c>
      <c r="H35" s="22"/>
      <c r="I35" s="22"/>
    </row>
    <row r="36" spans="1:9" x14ac:dyDescent="0.3">
      <c r="A36" s="29" t="s">
        <v>107</v>
      </c>
      <c r="B36" s="31"/>
      <c r="C36" s="26"/>
      <c r="D36" s="26"/>
      <c r="E36" s="26"/>
      <c r="F36" s="27"/>
      <c r="G36" s="28" t="s">
        <v>26</v>
      </c>
      <c r="H36" s="22"/>
      <c r="I36" s="22"/>
    </row>
    <row r="37" spans="1:9" x14ac:dyDescent="0.3">
      <c r="A37" s="29" t="s">
        <v>108</v>
      </c>
      <c r="B37" s="31"/>
      <c r="C37" s="26"/>
      <c r="D37" s="26"/>
      <c r="E37" s="26"/>
      <c r="F37" s="27"/>
      <c r="G37" s="28" t="s">
        <v>26</v>
      </c>
      <c r="H37" s="22"/>
      <c r="I37" s="22"/>
    </row>
    <row r="38" spans="1:9" x14ac:dyDescent="0.3">
      <c r="A38" s="29" t="s">
        <v>109</v>
      </c>
      <c r="B38" s="31"/>
      <c r="C38" s="26"/>
      <c r="D38" s="26"/>
      <c r="E38" s="26"/>
      <c r="F38" s="27"/>
      <c r="G38" s="28" t="s">
        <v>26</v>
      </c>
      <c r="H38" s="22"/>
      <c r="I38" s="22"/>
    </row>
    <row r="39" spans="1:9" x14ac:dyDescent="0.3">
      <c r="A39" s="29" t="s">
        <v>110</v>
      </c>
      <c r="B39" s="31"/>
      <c r="C39" s="26"/>
      <c r="D39" s="26"/>
      <c r="E39" s="26"/>
      <c r="F39" s="27"/>
      <c r="G39" s="28" t="s">
        <v>26</v>
      </c>
      <c r="H39" s="22"/>
      <c r="I39" s="22"/>
    </row>
    <row r="40" spans="1:9" x14ac:dyDescent="0.3">
      <c r="A40" s="29" t="s">
        <v>111</v>
      </c>
      <c r="B40" s="31"/>
      <c r="C40" s="26"/>
      <c r="D40" s="26"/>
      <c r="E40" s="26"/>
      <c r="F40" s="27"/>
      <c r="G40" s="28" t="s">
        <v>26</v>
      </c>
      <c r="H40" s="22"/>
      <c r="I40" s="22"/>
    </row>
    <row r="41" spans="1:9" x14ac:dyDescent="0.3">
      <c r="A41" s="29" t="s">
        <v>112</v>
      </c>
      <c r="B41" s="31"/>
      <c r="C41" s="26"/>
      <c r="D41" s="26"/>
      <c r="E41" s="26"/>
      <c r="F41" s="27"/>
      <c r="G41" s="28" t="s">
        <v>26</v>
      </c>
      <c r="H41" s="22"/>
      <c r="I41" s="22"/>
    </row>
    <row r="42" spans="1:9" x14ac:dyDescent="0.3">
      <c r="A42" s="29" t="s">
        <v>113</v>
      </c>
      <c r="B42" s="31"/>
      <c r="C42" s="26"/>
      <c r="D42" s="26"/>
      <c r="E42" s="26"/>
      <c r="F42" s="27"/>
      <c r="G42" s="28" t="s">
        <v>26</v>
      </c>
      <c r="H42" s="22"/>
      <c r="I42" s="22"/>
    </row>
    <row r="43" spans="1:9" x14ac:dyDescent="0.3">
      <c r="A43" s="29" t="s">
        <v>114</v>
      </c>
      <c r="B43" s="31"/>
      <c r="C43" s="26"/>
      <c r="D43" s="26"/>
      <c r="E43" s="26"/>
      <c r="F43" s="27"/>
      <c r="G43" s="28" t="s">
        <v>26</v>
      </c>
      <c r="H43" s="22"/>
      <c r="I43" s="22"/>
    </row>
    <row r="44" spans="1:9" x14ac:dyDescent="0.3">
      <c r="A44" s="29" t="s">
        <v>115</v>
      </c>
      <c r="B44" s="31"/>
      <c r="C44" s="26"/>
      <c r="D44" s="26"/>
      <c r="E44" s="26"/>
      <c r="F44" s="27"/>
      <c r="G44" s="28" t="s">
        <v>26</v>
      </c>
      <c r="H44" s="22"/>
      <c r="I44" s="22"/>
    </row>
    <row r="45" spans="1:9" x14ac:dyDescent="0.3">
      <c r="A45" s="29" t="s">
        <v>116</v>
      </c>
      <c r="B45" s="31"/>
      <c r="C45" s="26"/>
      <c r="D45" s="26"/>
      <c r="E45" s="26"/>
      <c r="F45" s="27"/>
      <c r="G45" s="28" t="s">
        <v>26</v>
      </c>
      <c r="H45" s="22"/>
      <c r="I45" s="22"/>
    </row>
    <row r="46" spans="1:9" x14ac:dyDescent="0.3">
      <c r="A46" s="29" t="s">
        <v>117</v>
      </c>
      <c r="B46" s="31"/>
      <c r="C46" s="26"/>
      <c r="D46" s="26"/>
      <c r="E46" s="26"/>
      <c r="F46" s="27"/>
      <c r="G46" s="28" t="s">
        <v>26</v>
      </c>
      <c r="H46" s="22"/>
      <c r="I46" s="22"/>
    </row>
    <row r="47" spans="1:9" x14ac:dyDescent="0.3">
      <c r="A47" s="29" t="s">
        <v>118</v>
      </c>
      <c r="B47" s="31"/>
      <c r="C47" s="26"/>
      <c r="D47" s="26"/>
      <c r="E47" s="26"/>
      <c r="F47" s="27"/>
      <c r="G47" s="28" t="s">
        <v>26</v>
      </c>
      <c r="H47" s="22"/>
      <c r="I47" s="22"/>
    </row>
    <row r="48" spans="1:9" x14ac:dyDescent="0.3">
      <c r="A48" s="29" t="s">
        <v>119</v>
      </c>
      <c r="B48" s="31"/>
      <c r="C48" s="26"/>
      <c r="D48" s="26"/>
      <c r="E48" s="26"/>
      <c r="F48" s="27"/>
      <c r="G48" s="28" t="s">
        <v>26</v>
      </c>
      <c r="H48" s="22"/>
      <c r="I48" s="22"/>
    </row>
    <row r="49" spans="1:9" x14ac:dyDescent="0.3">
      <c r="A49" s="29" t="s">
        <v>120</v>
      </c>
      <c r="B49" s="31"/>
      <c r="C49" s="26"/>
      <c r="D49" s="26"/>
      <c r="E49" s="26"/>
      <c r="F49" s="27"/>
      <c r="G49" s="28" t="s">
        <v>26</v>
      </c>
      <c r="H49" s="22"/>
      <c r="I49" s="22"/>
    </row>
    <row r="50" spans="1:9" x14ac:dyDescent="0.3">
      <c r="A50" s="29" t="s">
        <v>121</v>
      </c>
      <c r="B50" s="31"/>
      <c r="C50" s="26"/>
      <c r="D50" s="26"/>
      <c r="E50" s="26"/>
      <c r="F50" s="27"/>
      <c r="G50" s="28" t="s">
        <v>26</v>
      </c>
    </row>
    <row r="51" spans="1:9" x14ac:dyDescent="0.3">
      <c r="A51" s="29" t="s">
        <v>122</v>
      </c>
      <c r="B51" s="31"/>
      <c r="C51" s="26"/>
      <c r="D51" s="26"/>
      <c r="E51" s="26"/>
      <c r="F51" s="27"/>
      <c r="G51" s="28" t="s">
        <v>26</v>
      </c>
    </row>
    <row r="52" spans="1:9" x14ac:dyDescent="0.3">
      <c r="A52" s="29" t="s">
        <v>123</v>
      </c>
      <c r="B52" s="31"/>
      <c r="C52" s="26"/>
      <c r="D52" s="26"/>
      <c r="E52" s="26"/>
      <c r="F52" s="27"/>
      <c r="G52" s="28" t="s">
        <v>26</v>
      </c>
    </row>
    <row r="53" spans="1:9" x14ac:dyDescent="0.3">
      <c r="A53" s="29" t="s">
        <v>124</v>
      </c>
      <c r="B53" s="31"/>
      <c r="C53" s="26"/>
      <c r="D53" s="26"/>
      <c r="E53" s="26"/>
      <c r="F53" s="27"/>
      <c r="G53" s="28" t="s">
        <v>26</v>
      </c>
    </row>
    <row r="54" spans="1:9" x14ac:dyDescent="0.3">
      <c r="A54" s="29" t="s">
        <v>125</v>
      </c>
      <c r="B54" s="31"/>
      <c r="C54" s="26"/>
      <c r="D54" s="26"/>
      <c r="E54" s="26"/>
      <c r="F54" s="27"/>
      <c r="G54" s="28" t="s">
        <v>26</v>
      </c>
    </row>
    <row r="55" spans="1:9" x14ac:dyDescent="0.3">
      <c r="A55" s="29" t="s">
        <v>126</v>
      </c>
      <c r="B55" s="31"/>
      <c r="C55" s="26"/>
      <c r="D55" s="26"/>
      <c r="E55" s="26"/>
      <c r="F55" s="27"/>
      <c r="G55" s="28" t="s">
        <v>26</v>
      </c>
    </row>
    <row r="56" spans="1:9" x14ac:dyDescent="0.3">
      <c r="A56" s="29" t="s">
        <v>127</v>
      </c>
      <c r="B56" s="31"/>
      <c r="C56" s="26"/>
      <c r="D56" s="26"/>
      <c r="E56" s="26"/>
      <c r="F56" s="27"/>
      <c r="G56" s="28" t="s">
        <v>26</v>
      </c>
    </row>
    <row r="57" spans="1:9" x14ac:dyDescent="0.3">
      <c r="A57" s="29" t="s">
        <v>128</v>
      </c>
      <c r="B57" s="31"/>
      <c r="C57" s="26"/>
      <c r="D57" s="26"/>
      <c r="E57" s="26"/>
      <c r="F57" s="27"/>
      <c r="G57" s="28" t="s">
        <v>26</v>
      </c>
    </row>
    <row r="58" spans="1:9" x14ac:dyDescent="0.3">
      <c r="A58" s="29" t="s">
        <v>129</v>
      </c>
      <c r="B58" s="31"/>
      <c r="C58" s="26"/>
      <c r="D58" s="26"/>
      <c r="E58" s="26"/>
      <c r="F58" s="27"/>
      <c r="G58" s="28" t="s">
        <v>26</v>
      </c>
    </row>
    <row r="59" spans="1:9" x14ac:dyDescent="0.3">
      <c r="A59" s="29" t="s">
        <v>130</v>
      </c>
      <c r="B59" s="31"/>
      <c r="C59" s="26"/>
      <c r="D59" s="26"/>
      <c r="E59" s="26"/>
      <c r="F59" s="27"/>
      <c r="G59" s="28" t="s">
        <v>26</v>
      </c>
    </row>
    <row r="60" spans="1:9" x14ac:dyDescent="0.3">
      <c r="A60" s="29" t="s">
        <v>131</v>
      </c>
      <c r="B60" s="31"/>
      <c r="C60" s="26"/>
      <c r="D60" s="26"/>
      <c r="E60" s="26"/>
      <c r="F60" s="27"/>
      <c r="G60" s="28" t="s">
        <v>26</v>
      </c>
    </row>
    <row r="61" spans="1:9" x14ac:dyDescent="0.3">
      <c r="A61" s="29" t="s">
        <v>132</v>
      </c>
      <c r="B61" s="31"/>
      <c r="C61" s="26"/>
      <c r="D61" s="26"/>
      <c r="E61" s="26"/>
      <c r="F61" s="27"/>
      <c r="G61" s="28" t="s">
        <v>26</v>
      </c>
    </row>
    <row r="62" spans="1:9" x14ac:dyDescent="0.3">
      <c r="A62" s="29" t="s">
        <v>133</v>
      </c>
      <c r="B62" s="31"/>
      <c r="C62" s="26"/>
      <c r="D62" s="26"/>
      <c r="E62" s="26"/>
      <c r="F62" s="27"/>
      <c r="G62" s="28" t="s">
        <v>26</v>
      </c>
    </row>
    <row r="63" spans="1:9" x14ac:dyDescent="0.3">
      <c r="A63" s="29" t="s">
        <v>134</v>
      </c>
      <c r="B63" s="31"/>
      <c r="C63" s="26"/>
      <c r="D63" s="26"/>
      <c r="E63" s="26"/>
      <c r="F63" s="27"/>
      <c r="G63" s="28" t="s">
        <v>26</v>
      </c>
    </row>
    <row r="64" spans="1:9" x14ac:dyDescent="0.3">
      <c r="A64" s="29" t="s">
        <v>135</v>
      </c>
      <c r="B64" s="31"/>
      <c r="C64" s="26"/>
      <c r="D64" s="26"/>
      <c r="E64" s="26"/>
      <c r="F64" s="27"/>
      <c r="G64" s="28" t="s">
        <v>26</v>
      </c>
    </row>
    <row r="65" spans="1:7" x14ac:dyDescent="0.3">
      <c r="A65" s="29" t="s">
        <v>136</v>
      </c>
      <c r="B65" s="31"/>
      <c r="C65" s="26"/>
      <c r="D65" s="26"/>
      <c r="E65" s="26"/>
      <c r="F65" s="27"/>
      <c r="G65" s="28" t="s">
        <v>26</v>
      </c>
    </row>
    <row r="66" spans="1:7" x14ac:dyDescent="0.3">
      <c r="A66" s="29" t="s">
        <v>137</v>
      </c>
      <c r="B66" s="31"/>
      <c r="C66" s="26"/>
      <c r="D66" s="26"/>
      <c r="E66" s="26"/>
      <c r="F66" s="27"/>
      <c r="G66" s="28" t="s">
        <v>26</v>
      </c>
    </row>
    <row r="67" spans="1:7" x14ac:dyDescent="0.3">
      <c r="A67" s="29" t="s">
        <v>138</v>
      </c>
      <c r="B67" s="31"/>
      <c r="C67" s="26"/>
      <c r="D67" s="26"/>
      <c r="E67" s="26"/>
      <c r="F67" s="27"/>
      <c r="G67" s="28" t="s">
        <v>26</v>
      </c>
    </row>
    <row r="68" spans="1:7" x14ac:dyDescent="0.3">
      <c r="A68" s="29" t="s">
        <v>139</v>
      </c>
      <c r="B68" s="31"/>
      <c r="C68" s="26"/>
      <c r="D68" s="26"/>
      <c r="E68" s="26"/>
      <c r="F68" s="27"/>
      <c r="G68" s="28" t="s">
        <v>26</v>
      </c>
    </row>
    <row r="69" spans="1:7" x14ac:dyDescent="0.3">
      <c r="A69" s="29" t="s">
        <v>140</v>
      </c>
      <c r="B69" s="31"/>
      <c r="C69" s="26"/>
      <c r="D69" s="26"/>
      <c r="E69" s="26"/>
      <c r="F69" s="27"/>
      <c r="G69" s="28" t="s">
        <v>26</v>
      </c>
    </row>
    <row r="70" spans="1:7" x14ac:dyDescent="0.3">
      <c r="A70" s="29" t="s">
        <v>141</v>
      </c>
      <c r="B70" s="31"/>
      <c r="C70" s="26"/>
      <c r="D70" s="26"/>
      <c r="E70" s="26"/>
      <c r="F70" s="27"/>
      <c r="G70" s="28" t="s">
        <v>26</v>
      </c>
    </row>
    <row r="71" spans="1:7" x14ac:dyDescent="0.3">
      <c r="A71" s="29" t="s">
        <v>142</v>
      </c>
      <c r="B71" s="31"/>
      <c r="C71" s="26"/>
      <c r="D71" s="26"/>
      <c r="E71" s="26"/>
      <c r="F71" s="27"/>
      <c r="G71" s="28" t="s">
        <v>26</v>
      </c>
    </row>
    <row r="72" spans="1:7" x14ac:dyDescent="0.3">
      <c r="A72" s="29" t="s">
        <v>143</v>
      </c>
      <c r="B72" s="31"/>
      <c r="C72" s="26"/>
      <c r="D72" s="26"/>
      <c r="E72" s="26"/>
      <c r="F72" s="27"/>
      <c r="G72" s="28" t="s">
        <v>26</v>
      </c>
    </row>
    <row r="73" spans="1:7" x14ac:dyDescent="0.3">
      <c r="A73" s="29" t="s">
        <v>144</v>
      </c>
      <c r="B73" s="31"/>
      <c r="C73" s="26"/>
      <c r="D73" s="26"/>
      <c r="E73" s="26"/>
      <c r="F73" s="27"/>
      <c r="G73" s="28" t="s">
        <v>26</v>
      </c>
    </row>
    <row r="74" spans="1:7" x14ac:dyDescent="0.3">
      <c r="A74" s="29" t="s">
        <v>145</v>
      </c>
      <c r="B74" s="31"/>
      <c r="C74" s="26"/>
      <c r="D74" s="26"/>
      <c r="E74" s="26"/>
      <c r="F74" s="27"/>
      <c r="G74" s="28" t="s">
        <v>26</v>
      </c>
    </row>
    <row r="75" spans="1:7" x14ac:dyDescent="0.3">
      <c r="A75" s="29" t="s">
        <v>146</v>
      </c>
      <c r="B75" s="31"/>
      <c r="C75" s="26"/>
      <c r="D75" s="26"/>
      <c r="E75" s="26"/>
      <c r="F75" s="27"/>
      <c r="G75" s="28" t="s">
        <v>26</v>
      </c>
    </row>
    <row r="76" spans="1:7" x14ac:dyDescent="0.3">
      <c r="A76" s="29" t="s">
        <v>147</v>
      </c>
      <c r="B76" s="31"/>
      <c r="C76" s="26"/>
      <c r="D76" s="26"/>
      <c r="E76" s="26"/>
      <c r="F76" s="27"/>
      <c r="G76" s="28" t="s">
        <v>26</v>
      </c>
    </row>
    <row r="77" spans="1:7" x14ac:dyDescent="0.3">
      <c r="A77" s="29" t="s">
        <v>148</v>
      </c>
      <c r="B77" s="31"/>
      <c r="C77" s="26"/>
      <c r="D77" s="26"/>
      <c r="E77" s="26"/>
      <c r="F77" s="27"/>
      <c r="G77" s="28" t="s">
        <v>26</v>
      </c>
    </row>
    <row r="78" spans="1:7" x14ac:dyDescent="0.3">
      <c r="A78" s="29" t="s">
        <v>149</v>
      </c>
      <c r="B78" s="31"/>
      <c r="C78" s="26"/>
      <c r="D78" s="26"/>
      <c r="E78" s="26"/>
      <c r="F78" s="27"/>
      <c r="G78" s="28" t="s">
        <v>26</v>
      </c>
    </row>
    <row r="79" spans="1:7" x14ac:dyDescent="0.3">
      <c r="A79" s="29" t="s">
        <v>150</v>
      </c>
      <c r="B79" s="31"/>
      <c r="C79" s="26"/>
      <c r="D79" s="26"/>
      <c r="E79" s="26"/>
      <c r="F79" s="27"/>
      <c r="G79" s="28" t="s">
        <v>26</v>
      </c>
    </row>
    <row r="80" spans="1:7" x14ac:dyDescent="0.3">
      <c r="A80" s="29" t="s">
        <v>151</v>
      </c>
      <c r="B80" s="31"/>
      <c r="C80" s="26"/>
      <c r="D80" s="26"/>
      <c r="E80" s="26"/>
      <c r="F80" s="27"/>
      <c r="G80" s="28" t="s">
        <v>26</v>
      </c>
    </row>
    <row r="81" spans="1:7" x14ac:dyDescent="0.3">
      <c r="A81" s="29" t="s">
        <v>152</v>
      </c>
      <c r="B81" s="31"/>
      <c r="C81" s="26"/>
      <c r="D81" s="26"/>
      <c r="E81" s="26"/>
      <c r="F81" s="27"/>
      <c r="G81" s="28" t="s">
        <v>26</v>
      </c>
    </row>
    <row r="82" spans="1:7" x14ac:dyDescent="0.3">
      <c r="A82" s="29" t="s">
        <v>153</v>
      </c>
      <c r="B82" s="31"/>
      <c r="C82" s="26"/>
      <c r="D82" s="26"/>
      <c r="E82" s="26"/>
      <c r="F82" s="27"/>
      <c r="G82" s="28" t="s">
        <v>26</v>
      </c>
    </row>
    <row r="83" spans="1:7" x14ac:dyDescent="0.3">
      <c r="A83" s="29" t="s">
        <v>154</v>
      </c>
      <c r="B83" s="31"/>
      <c r="C83" s="26"/>
      <c r="D83" s="26"/>
      <c r="E83" s="26"/>
      <c r="F83" s="27"/>
      <c r="G83" s="28" t="s">
        <v>26</v>
      </c>
    </row>
    <row r="84" spans="1:7" x14ac:dyDescent="0.3">
      <c r="A84" s="29" t="s">
        <v>155</v>
      </c>
      <c r="B84" s="31"/>
      <c r="C84" s="26"/>
      <c r="D84" s="26"/>
      <c r="E84" s="26"/>
      <c r="F84" s="27"/>
      <c r="G84" s="28" t="s">
        <v>26</v>
      </c>
    </row>
    <row r="85" spans="1:7" x14ac:dyDescent="0.3">
      <c r="A85" s="29" t="s">
        <v>156</v>
      </c>
      <c r="B85" s="31"/>
      <c r="C85" s="26"/>
      <c r="D85" s="26"/>
      <c r="E85" s="26"/>
      <c r="F85" s="27"/>
      <c r="G85" s="28" t="s">
        <v>26</v>
      </c>
    </row>
  </sheetData>
  <mergeCells count="1">
    <mergeCell ref="E5:H5"/>
  </mergeCells>
  <hyperlinks>
    <hyperlink ref="A8" location="Sheet1!F5" display="Kac01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71"/>
  <sheetViews>
    <sheetView tabSelected="1" topLeftCell="A44" zoomScale="130" zoomScaleNormal="130" workbookViewId="0">
      <selection activeCell="M65" sqref="M65:O65"/>
    </sheetView>
  </sheetViews>
  <sheetFormatPr defaultRowHeight="14.4" x14ac:dyDescent="0.3"/>
  <cols>
    <col min="1" max="1" width="12.6640625" customWidth="1"/>
    <col min="2" max="2" width="5.6640625" customWidth="1"/>
    <col min="3" max="3" width="4.77734375" customWidth="1"/>
    <col min="4" max="4" width="5.5546875" customWidth="1"/>
    <col min="6" max="6" width="5.21875" customWidth="1"/>
    <col min="7" max="7" width="5.77734375" customWidth="1"/>
    <col min="8" max="8" width="6.109375" customWidth="1"/>
    <col min="9" max="9" width="8.6640625" customWidth="1"/>
    <col min="10" max="10" width="9.109375"/>
    <col min="11" max="11" width="6.88671875" customWidth="1"/>
    <col min="12" max="12" width="12.88671875" customWidth="1"/>
    <col min="13" max="13" width="17.77734375" customWidth="1"/>
    <col min="14" max="14" width="10.21875" customWidth="1"/>
    <col min="15" max="15" width="13.109375" bestFit="1" customWidth="1"/>
    <col min="16" max="16" width="10.5546875" bestFit="1" customWidth="1"/>
    <col min="17" max="17" width="5.5546875" customWidth="1"/>
    <col min="18" max="18" width="9.6640625" customWidth="1"/>
    <col min="19" max="19" width="11.109375" bestFit="1" customWidth="1"/>
    <col min="20" max="20" width="9.109375" hidden="1"/>
    <col min="21" max="21" width="9.109375"/>
    <col min="22" max="23" width="9.109375" hidden="1"/>
  </cols>
  <sheetData>
    <row r="2" spans="1:23" ht="28.8" x14ac:dyDescent="0.55000000000000004">
      <c r="B2" s="96" t="s">
        <v>41</v>
      </c>
      <c r="C2" s="96"/>
      <c r="D2" s="96"/>
      <c r="E2" s="96"/>
      <c r="F2" s="96"/>
      <c r="G2" s="96"/>
      <c r="I2" s="99" t="s">
        <v>46</v>
      </c>
      <c r="J2" s="100"/>
      <c r="K2" s="100"/>
      <c r="L2" s="76"/>
      <c r="N2" s="93"/>
      <c r="O2" s="93"/>
      <c r="P2" s="93"/>
      <c r="Q2" s="92"/>
      <c r="R2" s="92"/>
      <c r="S2" s="92"/>
    </row>
    <row r="3" spans="1:23" ht="21" x14ac:dyDescent="0.4">
      <c r="A3" s="94" t="s">
        <v>42</v>
      </c>
      <c r="B3" s="94"/>
      <c r="C3" s="94"/>
      <c r="D3" s="94"/>
      <c r="E3" s="94"/>
      <c r="I3" s="95" t="s">
        <v>43</v>
      </c>
      <c r="J3" s="95"/>
      <c r="N3" s="86" t="s">
        <v>44</v>
      </c>
      <c r="O3" s="86"/>
    </row>
    <row r="5" spans="1:23" x14ac:dyDescent="0.3">
      <c r="A5" s="97" t="s">
        <v>45</v>
      </c>
      <c r="B5" s="97"/>
      <c r="C5" s="97"/>
      <c r="D5" s="97"/>
      <c r="E5" s="98"/>
    </row>
    <row r="7" spans="1:23" ht="21" x14ac:dyDescent="0.4">
      <c r="A7" s="89" t="s">
        <v>5</v>
      </c>
      <c r="B7" s="90"/>
      <c r="C7" s="90"/>
      <c r="D7" s="90"/>
      <c r="E7" s="43"/>
      <c r="F7" s="89" t="s">
        <v>10</v>
      </c>
      <c r="G7" s="90"/>
      <c r="H7" s="90"/>
      <c r="I7" s="91"/>
      <c r="J7" s="44"/>
      <c r="L7" s="45"/>
      <c r="M7" s="46"/>
      <c r="N7" s="46"/>
      <c r="O7" s="46"/>
      <c r="P7" s="46"/>
      <c r="Q7" s="46"/>
      <c r="R7" s="46"/>
      <c r="S7" s="77"/>
      <c r="T7" s="46"/>
      <c r="U7" s="77"/>
      <c r="V7" s="46"/>
      <c r="W7" s="47"/>
    </row>
    <row r="8" spans="1:23" x14ac:dyDescent="0.3">
      <c r="A8" s="48" t="s">
        <v>47</v>
      </c>
      <c r="B8" s="48" t="s">
        <v>7</v>
      </c>
      <c r="C8" s="48" t="s">
        <v>8</v>
      </c>
      <c r="D8" s="48" t="s">
        <v>48</v>
      </c>
      <c r="E8" s="48" t="s">
        <v>49</v>
      </c>
      <c r="F8" s="48" t="s">
        <v>7</v>
      </c>
      <c r="G8" s="48" t="s">
        <v>8</v>
      </c>
      <c r="H8" s="48" t="s">
        <v>48</v>
      </c>
      <c r="I8" s="48" t="s">
        <v>49</v>
      </c>
      <c r="J8" s="48" t="s">
        <v>9</v>
      </c>
      <c r="L8" s="49" t="s">
        <v>47</v>
      </c>
      <c r="M8" s="49" t="s">
        <v>50</v>
      </c>
      <c r="N8" s="50" t="s">
        <v>51</v>
      </c>
      <c r="O8" s="51" t="s">
        <v>52</v>
      </c>
      <c r="P8" s="50" t="s">
        <v>53</v>
      </c>
      <c r="Q8" s="50" t="s">
        <v>71</v>
      </c>
      <c r="R8" s="52" t="s">
        <v>54</v>
      </c>
      <c r="S8" s="22"/>
      <c r="T8" s="22"/>
      <c r="U8" s="22"/>
      <c r="V8" s="22"/>
      <c r="W8" s="22"/>
    </row>
    <row r="9" spans="1:23" x14ac:dyDescent="0.3">
      <c r="A9" s="53" t="s">
        <v>55</v>
      </c>
      <c r="B9" s="54">
        <v>5.6</v>
      </c>
      <c r="C9" s="54">
        <v>7.5</v>
      </c>
      <c r="D9" s="54">
        <v>14</v>
      </c>
      <c r="E9" s="81">
        <f>(B9*12.22+C9*0)</f>
        <v>68.432000000000002</v>
      </c>
      <c r="F9" s="55">
        <v>6.5</v>
      </c>
      <c r="G9" s="55">
        <v>9</v>
      </c>
      <c r="H9" s="55">
        <v>10</v>
      </c>
      <c r="I9" s="55">
        <f>(F9*12.22+G9*0)</f>
        <v>79.430000000000007</v>
      </c>
      <c r="J9" s="39">
        <f>(E9*D9+H9*I9)</f>
        <v>1752.348</v>
      </c>
      <c r="L9" s="53" t="s">
        <v>55</v>
      </c>
      <c r="M9" s="56"/>
      <c r="N9" s="57"/>
      <c r="O9" s="40">
        <f>(J9)</f>
        <v>1752.348</v>
      </c>
      <c r="P9" s="40">
        <f>(J9-N9)</f>
        <v>1752.348</v>
      </c>
      <c r="Q9" s="58" t="str">
        <f t="shared" ref="Q9:Q52" si="0">IF(P9&lt;1,"Dr","Cr")</f>
        <v>Cr</v>
      </c>
      <c r="R9" s="39"/>
      <c r="S9" s="22"/>
      <c r="T9" s="22"/>
      <c r="U9" s="22"/>
      <c r="V9" s="22"/>
      <c r="W9" s="22"/>
    </row>
    <row r="10" spans="1:23" x14ac:dyDescent="0.3">
      <c r="A10" s="53" t="s">
        <v>56</v>
      </c>
      <c r="B10" s="55">
        <v>6.6</v>
      </c>
      <c r="C10" s="55">
        <v>9.5</v>
      </c>
      <c r="D10" s="55">
        <v>11.4</v>
      </c>
      <c r="E10" s="81">
        <f t="shared" ref="E10:E52" si="1">(B10*12.22+C10*0)</f>
        <v>80.652000000000001</v>
      </c>
      <c r="F10" s="39">
        <v>6.6</v>
      </c>
      <c r="G10" s="39">
        <v>9.5</v>
      </c>
      <c r="H10" s="39">
        <v>7</v>
      </c>
      <c r="I10" s="55">
        <f t="shared" ref="I10:I52" si="2">(F10*12.22+G10*0)</f>
        <v>80.652000000000001</v>
      </c>
      <c r="J10" s="39">
        <f t="shared" ref="J10:J52" si="3">(E10*D10+H10*I10)</f>
        <v>1483.9967999999999</v>
      </c>
      <c r="L10" s="53" t="s">
        <v>56</v>
      </c>
      <c r="M10" s="56"/>
      <c r="N10" s="59"/>
      <c r="O10" s="39">
        <f t="shared" ref="O10:O52" si="4">(O9+J10)</f>
        <v>3236.3447999999999</v>
      </c>
      <c r="P10" s="40">
        <f>(P9+J10-N10)</f>
        <v>3236.3447999999999</v>
      </c>
      <c r="Q10" s="58" t="str">
        <f t="shared" si="0"/>
        <v>Cr</v>
      </c>
      <c r="R10" s="39"/>
      <c r="S10" s="22"/>
      <c r="T10" s="22"/>
      <c r="U10" s="22"/>
      <c r="V10" s="22"/>
      <c r="W10" s="22"/>
    </row>
    <row r="11" spans="1:23" x14ac:dyDescent="0.3">
      <c r="A11" s="53" t="s">
        <v>56</v>
      </c>
      <c r="B11" s="55">
        <v>9.5</v>
      </c>
      <c r="C11" s="55">
        <v>9.9</v>
      </c>
      <c r="D11" s="55">
        <v>2</v>
      </c>
      <c r="E11" s="81">
        <f t="shared" si="1"/>
        <v>116.09</v>
      </c>
      <c r="F11" s="39"/>
      <c r="G11" s="39"/>
      <c r="H11" s="39"/>
      <c r="I11" s="55">
        <f t="shared" si="2"/>
        <v>0</v>
      </c>
      <c r="J11" s="39">
        <f t="shared" si="3"/>
        <v>232.18</v>
      </c>
      <c r="L11" s="53" t="s">
        <v>56</v>
      </c>
      <c r="M11" s="56"/>
      <c r="N11" s="59"/>
      <c r="O11" s="39">
        <f t="shared" si="4"/>
        <v>3468.5247999999997</v>
      </c>
      <c r="P11" s="40">
        <f t="shared" ref="P11:P52" si="5">(P10+J11-N11)</f>
        <v>3468.5247999999997</v>
      </c>
      <c r="Q11" s="58" t="str">
        <f t="shared" si="0"/>
        <v>Cr</v>
      </c>
      <c r="R11" s="39"/>
      <c r="S11" s="22"/>
      <c r="T11" s="22"/>
      <c r="U11" s="22"/>
      <c r="V11" s="22"/>
      <c r="W11" s="22"/>
    </row>
    <row r="12" spans="1:23" x14ac:dyDescent="0.3">
      <c r="A12" s="53" t="s">
        <v>57</v>
      </c>
      <c r="B12" s="55">
        <v>8.9</v>
      </c>
      <c r="C12" s="55">
        <v>9.19</v>
      </c>
      <c r="D12" s="55">
        <v>2</v>
      </c>
      <c r="E12" s="81">
        <f t="shared" si="1"/>
        <v>108.75800000000001</v>
      </c>
      <c r="F12" s="39"/>
      <c r="G12" s="39"/>
      <c r="H12" s="39"/>
      <c r="I12" s="55">
        <f t="shared" si="2"/>
        <v>0</v>
      </c>
      <c r="J12" s="39">
        <f t="shared" si="3"/>
        <v>217.51600000000002</v>
      </c>
      <c r="L12" s="53" t="s">
        <v>57</v>
      </c>
      <c r="M12" s="56"/>
      <c r="N12" s="59"/>
      <c r="O12" s="39">
        <f t="shared" si="4"/>
        <v>3686.0407999999998</v>
      </c>
      <c r="P12" s="40">
        <f t="shared" si="5"/>
        <v>3686.0407999999998</v>
      </c>
      <c r="Q12" s="58" t="str">
        <f t="shared" si="0"/>
        <v>Cr</v>
      </c>
      <c r="R12" s="39"/>
      <c r="S12" s="22"/>
      <c r="T12" s="22"/>
      <c r="U12" s="22"/>
      <c r="V12" s="22"/>
      <c r="W12" s="22"/>
    </row>
    <row r="13" spans="1:23" x14ac:dyDescent="0.3">
      <c r="A13" s="60" t="s">
        <v>57</v>
      </c>
      <c r="B13" s="26">
        <v>6.65</v>
      </c>
      <c r="C13" s="26">
        <v>9.19</v>
      </c>
      <c r="D13" s="26">
        <v>7.5</v>
      </c>
      <c r="E13" s="81">
        <f t="shared" si="1"/>
        <v>81.263000000000005</v>
      </c>
      <c r="F13" s="26">
        <v>5.93</v>
      </c>
      <c r="G13" s="26">
        <v>9.02</v>
      </c>
      <c r="H13" s="26">
        <v>7</v>
      </c>
      <c r="I13" s="55">
        <f t="shared" si="2"/>
        <v>72.464600000000004</v>
      </c>
      <c r="J13" s="39">
        <f t="shared" si="3"/>
        <v>1116.7247000000002</v>
      </c>
      <c r="L13" s="60" t="s">
        <v>57</v>
      </c>
      <c r="M13" s="56"/>
      <c r="N13" s="59"/>
      <c r="O13" s="39">
        <f t="shared" si="4"/>
        <v>4802.7654999999995</v>
      </c>
      <c r="P13" s="40">
        <f t="shared" si="5"/>
        <v>4802.7654999999995</v>
      </c>
      <c r="Q13" s="58" t="str">
        <f t="shared" si="0"/>
        <v>Cr</v>
      </c>
      <c r="R13" s="39"/>
      <c r="S13" s="22"/>
      <c r="T13" s="22"/>
      <c r="U13" s="22"/>
      <c r="V13" s="22"/>
      <c r="W13" s="22"/>
    </row>
    <row r="14" spans="1:23" x14ac:dyDescent="0.3">
      <c r="A14" s="60" t="s">
        <v>58</v>
      </c>
      <c r="B14" s="26">
        <v>8.18</v>
      </c>
      <c r="C14" s="26">
        <v>9.4700000000000006</v>
      </c>
      <c r="D14" s="26">
        <v>2.6</v>
      </c>
      <c r="E14" s="81">
        <f t="shared" si="1"/>
        <v>99.959599999999995</v>
      </c>
      <c r="F14" s="39">
        <v>9.98</v>
      </c>
      <c r="G14" s="39">
        <v>9.1</v>
      </c>
      <c r="H14" s="39">
        <v>7.5</v>
      </c>
      <c r="I14" s="55">
        <f t="shared" si="2"/>
        <v>121.95560000000002</v>
      </c>
      <c r="J14" s="39">
        <f t="shared" si="3"/>
        <v>1174.56196</v>
      </c>
      <c r="L14" s="60" t="s">
        <v>58</v>
      </c>
      <c r="M14" s="56"/>
      <c r="N14" s="59"/>
      <c r="O14" s="39">
        <f t="shared" si="4"/>
        <v>5977.3274599999995</v>
      </c>
      <c r="P14" s="40">
        <f t="shared" si="5"/>
        <v>5977.3274599999995</v>
      </c>
      <c r="Q14" s="58" t="str">
        <f t="shared" si="0"/>
        <v>Cr</v>
      </c>
      <c r="R14" s="39"/>
      <c r="S14" s="22"/>
      <c r="T14" s="22"/>
      <c r="U14" s="22"/>
      <c r="V14" s="22"/>
      <c r="W14" s="22"/>
    </row>
    <row r="15" spans="1:23" x14ac:dyDescent="0.3">
      <c r="A15" s="60" t="s">
        <v>58</v>
      </c>
      <c r="B15" s="26">
        <v>6.64</v>
      </c>
      <c r="C15" s="26">
        <v>9.2799999999999994</v>
      </c>
      <c r="D15" s="26">
        <v>7.5</v>
      </c>
      <c r="E15" s="81">
        <f t="shared" si="1"/>
        <v>81.140799999999999</v>
      </c>
      <c r="F15" s="39"/>
      <c r="G15" s="39"/>
      <c r="H15" s="39"/>
      <c r="I15" s="55">
        <f t="shared" si="2"/>
        <v>0</v>
      </c>
      <c r="J15" s="39">
        <f t="shared" si="3"/>
        <v>608.55600000000004</v>
      </c>
      <c r="L15" s="60" t="s">
        <v>58</v>
      </c>
      <c r="M15" s="56"/>
      <c r="N15" s="59"/>
      <c r="O15" s="39">
        <f t="shared" si="4"/>
        <v>6585.8834599999991</v>
      </c>
      <c r="P15" s="40">
        <f t="shared" si="5"/>
        <v>6585.8834599999991</v>
      </c>
      <c r="Q15" s="58" t="str">
        <f t="shared" si="0"/>
        <v>Cr</v>
      </c>
      <c r="R15" s="39"/>
      <c r="S15" s="22"/>
      <c r="T15" s="22"/>
      <c r="U15" s="22"/>
      <c r="V15" s="22"/>
      <c r="W15" s="22"/>
    </row>
    <row r="16" spans="1:23" x14ac:dyDescent="0.3">
      <c r="A16" s="60" t="s">
        <v>59</v>
      </c>
      <c r="B16" s="26">
        <v>8.77</v>
      </c>
      <c r="C16" s="26">
        <v>9.58</v>
      </c>
      <c r="D16" s="26">
        <v>2.5</v>
      </c>
      <c r="E16" s="81">
        <f t="shared" si="1"/>
        <v>107.1694</v>
      </c>
      <c r="F16" s="39">
        <v>6.09</v>
      </c>
      <c r="G16" s="39">
        <v>8.74</v>
      </c>
      <c r="H16" s="39">
        <v>7</v>
      </c>
      <c r="I16" s="55">
        <f t="shared" si="2"/>
        <v>74.419799999999995</v>
      </c>
      <c r="J16" s="39">
        <f t="shared" si="3"/>
        <v>788.86209999999994</v>
      </c>
      <c r="L16" s="60" t="s">
        <v>59</v>
      </c>
      <c r="M16" s="56"/>
      <c r="N16" s="59"/>
      <c r="O16" s="39">
        <f t="shared" si="4"/>
        <v>7374.7455599999994</v>
      </c>
      <c r="P16" s="40">
        <f t="shared" si="5"/>
        <v>7374.7455599999994</v>
      </c>
      <c r="Q16" s="58" t="str">
        <f t="shared" si="0"/>
        <v>Cr</v>
      </c>
      <c r="R16" s="39"/>
      <c r="S16" s="22"/>
      <c r="T16" s="22"/>
      <c r="U16" s="22"/>
      <c r="V16" s="22"/>
      <c r="W16" s="22"/>
    </row>
    <row r="17" spans="1:23" x14ac:dyDescent="0.3">
      <c r="A17" s="60" t="s">
        <v>59</v>
      </c>
      <c r="B17" s="61">
        <v>6.89</v>
      </c>
      <c r="C17" s="61">
        <v>9.2799999999999994</v>
      </c>
      <c r="D17" s="61">
        <v>8</v>
      </c>
      <c r="E17" s="81">
        <f t="shared" si="1"/>
        <v>84.195800000000006</v>
      </c>
      <c r="F17" s="39"/>
      <c r="G17" s="39"/>
      <c r="H17" s="39"/>
      <c r="I17" s="55">
        <f t="shared" si="2"/>
        <v>0</v>
      </c>
      <c r="J17" s="39">
        <f t="shared" si="3"/>
        <v>673.56640000000004</v>
      </c>
      <c r="L17" s="60" t="s">
        <v>59</v>
      </c>
      <c r="M17" s="56"/>
      <c r="N17" s="59"/>
      <c r="O17" s="39">
        <f t="shared" si="4"/>
        <v>8048.3119599999991</v>
      </c>
      <c r="P17" s="40">
        <f t="shared" si="5"/>
        <v>8048.3119599999991</v>
      </c>
      <c r="Q17" s="58" t="str">
        <f t="shared" si="0"/>
        <v>Cr</v>
      </c>
      <c r="R17" s="39"/>
      <c r="S17" s="22"/>
      <c r="T17" s="22"/>
      <c r="U17" s="22"/>
      <c r="V17" s="22"/>
      <c r="W17" s="22"/>
    </row>
    <row r="18" spans="1:23" x14ac:dyDescent="0.3">
      <c r="A18" s="60" t="s">
        <v>60</v>
      </c>
      <c r="B18" s="26">
        <v>8.7899999999999991</v>
      </c>
      <c r="C18" s="26">
        <v>9.57</v>
      </c>
      <c r="D18" s="26">
        <v>2.7</v>
      </c>
      <c r="E18" s="81">
        <f t="shared" si="1"/>
        <v>107.41379999999999</v>
      </c>
      <c r="F18" s="39">
        <v>6.3</v>
      </c>
      <c r="G18" s="39">
        <v>8.77</v>
      </c>
      <c r="H18" s="39">
        <v>7.5</v>
      </c>
      <c r="I18" s="55">
        <f t="shared" si="2"/>
        <v>76.986000000000004</v>
      </c>
      <c r="J18" s="39">
        <f t="shared" si="3"/>
        <v>867.41226000000006</v>
      </c>
      <c r="L18" s="60" t="s">
        <v>60</v>
      </c>
      <c r="M18" s="56"/>
      <c r="N18" s="59"/>
      <c r="O18" s="39">
        <f t="shared" si="4"/>
        <v>8915.7242200000001</v>
      </c>
      <c r="P18" s="40">
        <f t="shared" si="5"/>
        <v>8915.7242200000001</v>
      </c>
      <c r="Q18" s="58" t="str">
        <f t="shared" si="0"/>
        <v>Cr</v>
      </c>
      <c r="R18" s="39"/>
      <c r="S18" s="22"/>
      <c r="T18" s="22"/>
      <c r="U18" s="22"/>
      <c r="V18" s="22"/>
      <c r="W18" s="22"/>
    </row>
    <row r="19" spans="1:23" x14ac:dyDescent="0.3">
      <c r="A19" s="60" t="s">
        <v>60</v>
      </c>
      <c r="B19" s="26">
        <v>6.59</v>
      </c>
      <c r="C19" s="26">
        <v>8.93</v>
      </c>
      <c r="D19" s="26">
        <v>8</v>
      </c>
      <c r="E19" s="81">
        <f t="shared" si="1"/>
        <v>80.529800000000009</v>
      </c>
      <c r="F19" s="39"/>
      <c r="G19" s="39"/>
      <c r="H19" s="39"/>
      <c r="I19" s="55">
        <f t="shared" si="2"/>
        <v>0</v>
      </c>
      <c r="J19" s="39">
        <f t="shared" si="3"/>
        <v>644.23840000000007</v>
      </c>
      <c r="L19" s="60" t="s">
        <v>60</v>
      </c>
      <c r="M19" s="56"/>
      <c r="N19" s="59"/>
      <c r="O19" s="39">
        <f t="shared" si="4"/>
        <v>9559.9626200000002</v>
      </c>
      <c r="P19" s="40">
        <f t="shared" si="5"/>
        <v>9559.9626200000002</v>
      </c>
      <c r="Q19" s="58" t="str">
        <f t="shared" si="0"/>
        <v>Cr</v>
      </c>
      <c r="R19" s="39"/>
      <c r="S19" s="22"/>
      <c r="T19" s="22"/>
      <c r="U19" s="22"/>
      <c r="V19" s="22"/>
      <c r="W19" s="22"/>
    </row>
    <row r="20" spans="1:23" x14ac:dyDescent="0.3">
      <c r="A20" s="60" t="s">
        <v>61</v>
      </c>
      <c r="B20" s="26">
        <v>7.2</v>
      </c>
      <c r="C20" s="26">
        <v>9.6</v>
      </c>
      <c r="D20" s="26">
        <v>10.5</v>
      </c>
      <c r="E20" s="81">
        <f t="shared" si="1"/>
        <v>87.984000000000009</v>
      </c>
      <c r="F20" s="39">
        <v>5.8</v>
      </c>
      <c r="G20" s="39">
        <v>8.9</v>
      </c>
      <c r="H20" s="39">
        <v>5</v>
      </c>
      <c r="I20" s="55">
        <f t="shared" si="2"/>
        <v>70.876000000000005</v>
      </c>
      <c r="J20" s="39">
        <f t="shared" si="3"/>
        <v>1278.212</v>
      </c>
      <c r="L20" s="60" t="s">
        <v>61</v>
      </c>
      <c r="M20" s="56"/>
      <c r="N20" s="59"/>
      <c r="O20" s="39">
        <f t="shared" si="4"/>
        <v>10838.17462</v>
      </c>
      <c r="P20" s="40">
        <f t="shared" si="5"/>
        <v>10838.17462</v>
      </c>
      <c r="Q20" s="58" t="str">
        <f t="shared" si="0"/>
        <v>Cr</v>
      </c>
      <c r="R20" s="39"/>
      <c r="S20" s="22"/>
      <c r="T20" s="22"/>
      <c r="U20" s="22"/>
      <c r="V20" s="22"/>
      <c r="W20" s="22"/>
    </row>
    <row r="21" spans="1:23" x14ac:dyDescent="0.3">
      <c r="A21" s="60" t="s">
        <v>62</v>
      </c>
      <c r="B21" s="26">
        <v>6.9</v>
      </c>
      <c r="C21" s="26">
        <v>9.5</v>
      </c>
      <c r="D21" s="26">
        <v>10</v>
      </c>
      <c r="E21" s="81">
        <f t="shared" si="1"/>
        <v>84.318000000000012</v>
      </c>
      <c r="F21" s="39">
        <v>6.8</v>
      </c>
      <c r="G21" s="39">
        <v>9.1999999999999993</v>
      </c>
      <c r="H21" s="39">
        <v>7</v>
      </c>
      <c r="I21" s="55">
        <f t="shared" si="2"/>
        <v>83.096000000000004</v>
      </c>
      <c r="J21" s="39">
        <f t="shared" si="3"/>
        <v>1424.8520000000001</v>
      </c>
      <c r="L21" s="60" t="s">
        <v>62</v>
      </c>
      <c r="M21" s="56"/>
      <c r="N21" s="59">
        <v>11841</v>
      </c>
      <c r="O21" s="39">
        <f t="shared" si="4"/>
        <v>12263.026620000001</v>
      </c>
      <c r="P21" s="40">
        <f t="shared" si="5"/>
        <v>422.02662000000055</v>
      </c>
      <c r="Q21" s="58" t="str">
        <f t="shared" si="0"/>
        <v>Cr</v>
      </c>
      <c r="R21" s="39"/>
      <c r="S21" s="22"/>
      <c r="T21" s="22"/>
      <c r="U21" s="22"/>
      <c r="V21" s="22"/>
      <c r="W21" s="22"/>
    </row>
    <row r="22" spans="1:23" x14ac:dyDescent="0.3">
      <c r="A22" s="62" t="s">
        <v>63</v>
      </c>
      <c r="B22" s="63">
        <v>7.3</v>
      </c>
      <c r="C22" s="63">
        <v>9.5</v>
      </c>
      <c r="D22" s="63">
        <v>10.3</v>
      </c>
      <c r="E22" s="81">
        <f t="shared" si="1"/>
        <v>89.206000000000003</v>
      </c>
      <c r="F22" s="64">
        <v>6.6</v>
      </c>
      <c r="G22" s="64">
        <v>8.8000000000000007</v>
      </c>
      <c r="H22" s="64">
        <v>6.75</v>
      </c>
      <c r="I22" s="55">
        <f t="shared" si="2"/>
        <v>80.652000000000001</v>
      </c>
      <c r="J22" s="64">
        <f t="shared" si="3"/>
        <v>1463.2228</v>
      </c>
      <c r="K22" s="65"/>
      <c r="L22" s="62" t="s">
        <v>63</v>
      </c>
      <c r="M22" s="66"/>
      <c r="N22" s="67"/>
      <c r="O22" s="64">
        <f t="shared" si="4"/>
        <v>13726.24942</v>
      </c>
      <c r="P22" s="106">
        <f t="shared" si="5"/>
        <v>1885.2494200000006</v>
      </c>
      <c r="Q22" s="68" t="str">
        <f t="shared" si="0"/>
        <v>Cr</v>
      </c>
      <c r="R22" s="64"/>
      <c r="S22" s="22"/>
      <c r="T22" s="22"/>
      <c r="U22" s="22"/>
      <c r="V22" s="22"/>
      <c r="W22" s="22"/>
    </row>
    <row r="23" spans="1:23" x14ac:dyDescent="0.3">
      <c r="A23" s="60" t="s">
        <v>64</v>
      </c>
      <c r="B23" s="26">
        <v>7.1</v>
      </c>
      <c r="C23" s="26">
        <v>9.4</v>
      </c>
      <c r="D23" s="26">
        <v>14.5</v>
      </c>
      <c r="E23" s="81">
        <f t="shared" si="1"/>
        <v>86.762</v>
      </c>
      <c r="F23" s="39">
        <v>6.5</v>
      </c>
      <c r="G23" s="39">
        <v>9</v>
      </c>
      <c r="H23" s="39">
        <v>9</v>
      </c>
      <c r="I23" s="55">
        <f t="shared" si="2"/>
        <v>79.430000000000007</v>
      </c>
      <c r="J23" s="39">
        <f t="shared" si="3"/>
        <v>1972.9190000000001</v>
      </c>
      <c r="L23" s="60" t="s">
        <v>64</v>
      </c>
      <c r="M23" s="56"/>
      <c r="N23" s="59"/>
      <c r="O23" s="39">
        <f t="shared" si="4"/>
        <v>15699.16842</v>
      </c>
      <c r="P23" s="40">
        <f t="shared" si="5"/>
        <v>3858.1684200000009</v>
      </c>
      <c r="Q23" s="58" t="str">
        <f t="shared" si="0"/>
        <v>Cr</v>
      </c>
      <c r="R23" s="39"/>
      <c r="S23" s="22"/>
      <c r="T23" s="22"/>
      <c r="U23" s="22"/>
      <c r="V23" s="22"/>
      <c r="W23" s="22"/>
    </row>
    <row r="24" spans="1:23" x14ac:dyDescent="0.3">
      <c r="A24" s="60" t="s">
        <v>65</v>
      </c>
      <c r="B24" s="26">
        <v>7.2</v>
      </c>
      <c r="C24" s="26">
        <v>9.4</v>
      </c>
      <c r="D24" s="26">
        <v>14.5</v>
      </c>
      <c r="E24" s="81">
        <f t="shared" si="1"/>
        <v>87.984000000000009</v>
      </c>
      <c r="F24" s="39">
        <v>6.7</v>
      </c>
      <c r="G24" s="39">
        <v>8.9</v>
      </c>
      <c r="H24" s="39">
        <v>10.8</v>
      </c>
      <c r="I24" s="55">
        <f t="shared" si="2"/>
        <v>81.874000000000009</v>
      </c>
      <c r="J24" s="39">
        <f t="shared" si="3"/>
        <v>2160.0072</v>
      </c>
      <c r="L24" s="60" t="s">
        <v>65</v>
      </c>
      <c r="M24" s="69"/>
      <c r="N24" s="70"/>
      <c r="O24" s="39">
        <f t="shared" si="4"/>
        <v>17859.175620000002</v>
      </c>
      <c r="P24" s="40">
        <f t="shared" si="5"/>
        <v>6018.1756200000009</v>
      </c>
      <c r="Q24" s="58" t="str">
        <f t="shared" si="0"/>
        <v>Cr</v>
      </c>
      <c r="R24" s="71"/>
      <c r="S24" s="72"/>
      <c r="T24" s="22"/>
      <c r="U24" s="22"/>
      <c r="V24" s="22"/>
      <c r="W24" s="22"/>
    </row>
    <row r="25" spans="1:23" x14ac:dyDescent="0.3">
      <c r="A25" s="60" t="s">
        <v>66</v>
      </c>
      <c r="B25" s="26">
        <v>7.3</v>
      </c>
      <c r="C25" s="26">
        <v>9.5</v>
      </c>
      <c r="D25" s="26">
        <v>15.7</v>
      </c>
      <c r="E25" s="81">
        <f t="shared" si="1"/>
        <v>89.206000000000003</v>
      </c>
      <c r="F25" s="39">
        <v>7.1</v>
      </c>
      <c r="G25" s="39">
        <v>9</v>
      </c>
      <c r="H25" s="39">
        <v>10.3</v>
      </c>
      <c r="I25" s="55">
        <f t="shared" si="2"/>
        <v>86.762</v>
      </c>
      <c r="J25" s="39">
        <f t="shared" si="3"/>
        <v>2294.1828</v>
      </c>
      <c r="L25" s="60" t="s">
        <v>66</v>
      </c>
      <c r="M25" s="56"/>
      <c r="N25" s="59"/>
      <c r="O25" s="39">
        <f t="shared" si="4"/>
        <v>20153.35842</v>
      </c>
      <c r="P25" s="40">
        <f t="shared" si="5"/>
        <v>8312.3584200000005</v>
      </c>
      <c r="Q25" s="58" t="str">
        <f t="shared" si="0"/>
        <v>Cr</v>
      </c>
      <c r="R25" s="39"/>
      <c r="S25" s="22"/>
      <c r="T25" s="22"/>
      <c r="U25" s="22"/>
      <c r="V25" s="22"/>
      <c r="W25" s="22"/>
    </row>
    <row r="26" spans="1:23" x14ac:dyDescent="0.3">
      <c r="A26" s="60" t="s">
        <v>67</v>
      </c>
      <c r="B26" s="39">
        <v>7.2</v>
      </c>
      <c r="C26" s="39">
        <v>9.3000000000000007</v>
      </c>
      <c r="D26" s="39">
        <v>15.2</v>
      </c>
      <c r="E26" s="81">
        <f t="shared" si="1"/>
        <v>87.984000000000009</v>
      </c>
      <c r="F26" s="39">
        <v>7.6</v>
      </c>
      <c r="G26" s="39">
        <v>7.7</v>
      </c>
      <c r="H26" s="39">
        <v>10.8</v>
      </c>
      <c r="I26" s="55">
        <f t="shared" si="2"/>
        <v>92.872</v>
      </c>
      <c r="J26" s="39">
        <f t="shared" si="3"/>
        <v>2340.3744000000002</v>
      </c>
      <c r="L26" s="60" t="s">
        <v>67</v>
      </c>
      <c r="M26" s="56"/>
      <c r="N26" s="59"/>
      <c r="O26" s="39">
        <f t="shared" si="4"/>
        <v>22493.732820000001</v>
      </c>
      <c r="P26" s="40">
        <f t="shared" si="5"/>
        <v>10652.732820000001</v>
      </c>
      <c r="Q26" s="58" t="str">
        <f t="shared" si="0"/>
        <v>Cr</v>
      </c>
      <c r="R26" s="39"/>
      <c r="S26" s="22"/>
      <c r="T26" s="22"/>
      <c r="U26" s="22"/>
      <c r="V26" s="22"/>
      <c r="W26" s="22"/>
    </row>
    <row r="27" spans="1:23" x14ac:dyDescent="0.3">
      <c r="A27" s="60" t="s">
        <v>68</v>
      </c>
      <c r="B27" s="39">
        <v>7.5</v>
      </c>
      <c r="C27" s="39">
        <v>9.6</v>
      </c>
      <c r="D27" s="39">
        <v>15</v>
      </c>
      <c r="E27" s="81">
        <f t="shared" si="1"/>
        <v>91.65</v>
      </c>
      <c r="F27" s="39">
        <v>7.4</v>
      </c>
      <c r="G27" s="39">
        <v>9.4</v>
      </c>
      <c r="H27" s="39">
        <v>9.5</v>
      </c>
      <c r="I27" s="55">
        <f t="shared" si="2"/>
        <v>90.428000000000011</v>
      </c>
      <c r="J27" s="39">
        <f t="shared" si="3"/>
        <v>2233.8160000000003</v>
      </c>
      <c r="L27" s="60" t="s">
        <v>68</v>
      </c>
      <c r="M27" s="69"/>
      <c r="N27" s="59"/>
      <c r="O27" s="39">
        <f t="shared" si="4"/>
        <v>24727.54882</v>
      </c>
      <c r="P27" s="40">
        <f t="shared" si="5"/>
        <v>12886.548820000002</v>
      </c>
      <c r="Q27" s="58" t="str">
        <f t="shared" si="0"/>
        <v>Cr</v>
      </c>
      <c r="R27" s="39"/>
      <c r="S27" s="22"/>
      <c r="T27" s="22"/>
      <c r="U27" s="22"/>
      <c r="V27" s="22"/>
      <c r="W27" s="22"/>
    </row>
    <row r="28" spans="1:23" x14ac:dyDescent="0.3">
      <c r="A28" s="60" t="s">
        <v>69</v>
      </c>
      <c r="B28" s="39">
        <v>7.7</v>
      </c>
      <c r="C28" s="39">
        <v>9.5</v>
      </c>
      <c r="D28" s="39">
        <v>14.2</v>
      </c>
      <c r="E28" s="81">
        <f t="shared" si="1"/>
        <v>94.094000000000008</v>
      </c>
      <c r="F28" s="39">
        <v>6.8</v>
      </c>
      <c r="G28" s="39">
        <v>9</v>
      </c>
      <c r="H28" s="39">
        <v>9.98</v>
      </c>
      <c r="I28" s="55">
        <f t="shared" si="2"/>
        <v>83.096000000000004</v>
      </c>
      <c r="J28" s="39">
        <f t="shared" si="3"/>
        <v>2165.4328800000003</v>
      </c>
      <c r="L28" s="60" t="s">
        <v>69</v>
      </c>
      <c r="M28" s="56"/>
      <c r="N28" s="59"/>
      <c r="O28" s="39">
        <f t="shared" si="4"/>
        <v>26892.9817</v>
      </c>
      <c r="P28" s="40">
        <f t="shared" si="5"/>
        <v>15051.981700000002</v>
      </c>
      <c r="Q28" s="58" t="str">
        <f t="shared" si="0"/>
        <v>Cr</v>
      </c>
      <c r="R28" s="39"/>
      <c r="S28" s="22"/>
      <c r="T28" s="22"/>
      <c r="U28" s="22"/>
      <c r="V28" s="22"/>
      <c r="W28" s="22"/>
    </row>
    <row r="29" spans="1:23" x14ac:dyDescent="0.3">
      <c r="A29" s="60" t="s">
        <v>70</v>
      </c>
      <c r="B29" s="39">
        <v>7.1</v>
      </c>
      <c r="C29" s="39">
        <v>9.4</v>
      </c>
      <c r="D29" s="39">
        <v>15.5</v>
      </c>
      <c r="E29" s="81">
        <f t="shared" si="1"/>
        <v>86.762</v>
      </c>
      <c r="F29" s="39">
        <v>7.4</v>
      </c>
      <c r="G29" s="39">
        <v>8.9</v>
      </c>
      <c r="H29" s="39">
        <v>9.6199999999999992</v>
      </c>
      <c r="I29" s="55">
        <f t="shared" si="2"/>
        <v>90.428000000000011</v>
      </c>
      <c r="J29" s="39">
        <f t="shared" si="3"/>
        <v>2214.7283600000001</v>
      </c>
      <c r="L29" s="60" t="s">
        <v>70</v>
      </c>
      <c r="M29" s="56"/>
      <c r="N29" s="59"/>
      <c r="O29" s="39">
        <f t="shared" si="4"/>
        <v>29107.710060000001</v>
      </c>
      <c r="P29" s="40">
        <f t="shared" si="5"/>
        <v>17266.710060000001</v>
      </c>
      <c r="Q29" s="58" t="str">
        <f t="shared" si="0"/>
        <v>Cr</v>
      </c>
      <c r="R29" s="39"/>
      <c r="S29" s="22"/>
      <c r="T29" s="22"/>
      <c r="U29" s="22"/>
      <c r="V29" s="22"/>
      <c r="W29" s="22"/>
    </row>
    <row r="30" spans="1:23" x14ac:dyDescent="0.3">
      <c r="A30" s="60" t="s">
        <v>72</v>
      </c>
      <c r="B30" s="39">
        <v>7.4</v>
      </c>
      <c r="C30" s="39">
        <v>9.3000000000000007</v>
      </c>
      <c r="D30" s="39">
        <v>15.1</v>
      </c>
      <c r="E30" s="81">
        <f t="shared" si="1"/>
        <v>90.428000000000011</v>
      </c>
      <c r="F30" s="39">
        <v>7.3</v>
      </c>
      <c r="G30" s="39">
        <v>8.8000000000000007</v>
      </c>
      <c r="H30" s="39">
        <v>9.4</v>
      </c>
      <c r="I30" s="55">
        <f t="shared" si="2"/>
        <v>89.206000000000003</v>
      </c>
      <c r="J30" s="39">
        <f t="shared" si="3"/>
        <v>2203.9992000000002</v>
      </c>
      <c r="L30" s="60" t="s">
        <v>72</v>
      </c>
      <c r="M30" s="56"/>
      <c r="N30" s="59"/>
      <c r="O30" s="39">
        <f t="shared" si="4"/>
        <v>31311.709260000003</v>
      </c>
      <c r="P30" s="40">
        <f t="shared" si="5"/>
        <v>19470.709260000003</v>
      </c>
      <c r="Q30" s="58" t="str">
        <f t="shared" si="0"/>
        <v>Cr</v>
      </c>
      <c r="R30" s="39"/>
      <c r="S30" s="22"/>
      <c r="T30" s="22"/>
      <c r="U30" s="22"/>
      <c r="V30" s="22"/>
      <c r="W30" s="22"/>
    </row>
    <row r="31" spans="1:23" x14ac:dyDescent="0.3">
      <c r="A31" s="60" t="s">
        <v>73</v>
      </c>
      <c r="B31" s="39">
        <v>7.27</v>
      </c>
      <c r="C31" s="39">
        <v>8.75</v>
      </c>
      <c r="D31" s="39">
        <v>14.6</v>
      </c>
      <c r="E31" s="81">
        <f t="shared" si="1"/>
        <v>88.839399999999998</v>
      </c>
      <c r="F31" s="39">
        <v>0</v>
      </c>
      <c r="G31" s="39">
        <v>0</v>
      </c>
      <c r="H31" s="39">
        <v>0</v>
      </c>
      <c r="I31" s="55">
        <f t="shared" si="2"/>
        <v>0</v>
      </c>
      <c r="J31" s="39">
        <f t="shared" si="3"/>
        <v>1297.0552399999999</v>
      </c>
      <c r="L31" s="60" t="s">
        <v>73</v>
      </c>
      <c r="M31" s="56"/>
      <c r="N31" s="59"/>
      <c r="O31" s="39">
        <f t="shared" si="4"/>
        <v>32608.764500000005</v>
      </c>
      <c r="P31" s="40">
        <f t="shared" si="5"/>
        <v>20767.764500000005</v>
      </c>
      <c r="Q31" s="58" t="str">
        <f t="shared" si="0"/>
        <v>Cr</v>
      </c>
      <c r="R31" s="39"/>
      <c r="S31" s="22"/>
      <c r="T31" s="22"/>
      <c r="U31" s="22"/>
      <c r="V31" s="22"/>
      <c r="W31" s="22"/>
    </row>
    <row r="32" spans="1:23" x14ac:dyDescent="0.3">
      <c r="A32" s="60" t="s">
        <v>74</v>
      </c>
      <c r="B32" s="39">
        <v>7.41</v>
      </c>
      <c r="C32" s="39">
        <v>9.34</v>
      </c>
      <c r="D32" s="39">
        <v>13.1</v>
      </c>
      <c r="E32" s="81">
        <f t="shared" si="1"/>
        <v>90.550200000000004</v>
      </c>
      <c r="F32" s="39">
        <v>7.19</v>
      </c>
      <c r="G32" s="39">
        <v>8.8000000000000007</v>
      </c>
      <c r="H32" s="39">
        <v>8.6</v>
      </c>
      <c r="I32" s="55">
        <f t="shared" si="2"/>
        <v>87.861800000000002</v>
      </c>
      <c r="J32" s="39">
        <f t="shared" si="3"/>
        <v>1941.8190999999999</v>
      </c>
      <c r="L32" s="60" t="s">
        <v>74</v>
      </c>
      <c r="M32" s="56"/>
      <c r="N32" s="59"/>
      <c r="O32" s="39">
        <f t="shared" si="4"/>
        <v>34550.583600000005</v>
      </c>
      <c r="P32" s="40">
        <f t="shared" si="5"/>
        <v>22709.583600000005</v>
      </c>
      <c r="Q32" s="58" t="str">
        <f t="shared" si="0"/>
        <v>Cr</v>
      </c>
      <c r="R32" s="39"/>
      <c r="S32" s="22"/>
      <c r="T32" s="22"/>
      <c r="U32" s="22"/>
      <c r="V32" s="22"/>
      <c r="W32" s="22"/>
    </row>
    <row r="33" spans="1:24" x14ac:dyDescent="0.3">
      <c r="A33" s="60" t="s">
        <v>75</v>
      </c>
      <c r="B33" s="39">
        <v>7.67</v>
      </c>
      <c r="C33" s="39">
        <v>9.1999999999999993</v>
      </c>
      <c r="D33" s="39">
        <v>17.2</v>
      </c>
      <c r="E33" s="81">
        <f t="shared" si="1"/>
        <v>93.727400000000003</v>
      </c>
      <c r="F33" s="39">
        <v>6.49</v>
      </c>
      <c r="G33" s="39">
        <v>8.49</v>
      </c>
      <c r="H33" s="39">
        <v>14.7</v>
      </c>
      <c r="I33" s="55">
        <f t="shared" si="2"/>
        <v>79.3078</v>
      </c>
      <c r="J33" s="39">
        <f t="shared" si="3"/>
        <v>2777.9359400000003</v>
      </c>
      <c r="L33" s="60" t="s">
        <v>75</v>
      </c>
      <c r="M33" s="56"/>
      <c r="N33" s="59"/>
      <c r="O33" s="39">
        <f t="shared" si="4"/>
        <v>37328.519540000008</v>
      </c>
      <c r="P33" s="40">
        <f t="shared" si="5"/>
        <v>25487.519540000005</v>
      </c>
      <c r="Q33" s="58" t="str">
        <f t="shared" si="0"/>
        <v>Cr</v>
      </c>
      <c r="R33" s="39"/>
      <c r="S33" s="22"/>
      <c r="T33" s="22"/>
      <c r="U33" s="22"/>
      <c r="V33" s="22"/>
      <c r="W33" s="22"/>
    </row>
    <row r="34" spans="1:24" x14ac:dyDescent="0.3">
      <c r="A34" s="60" t="s">
        <v>76</v>
      </c>
      <c r="B34" s="39">
        <v>7.44</v>
      </c>
      <c r="C34" s="39">
        <v>8.76</v>
      </c>
      <c r="D34" s="39">
        <v>17.95</v>
      </c>
      <c r="E34" s="81">
        <f t="shared" si="1"/>
        <v>90.916800000000009</v>
      </c>
      <c r="F34" s="39">
        <v>7.26</v>
      </c>
      <c r="G34" s="39">
        <v>8.58</v>
      </c>
      <c r="H34" s="39">
        <v>8.8000000000000007</v>
      </c>
      <c r="I34" s="55">
        <f t="shared" si="2"/>
        <v>88.717200000000005</v>
      </c>
      <c r="J34" s="39">
        <f t="shared" si="3"/>
        <v>2412.6679200000003</v>
      </c>
      <c r="L34" s="60" t="s">
        <v>76</v>
      </c>
      <c r="M34" s="56"/>
      <c r="N34" s="74"/>
      <c r="O34" s="39">
        <f t="shared" si="4"/>
        <v>39741.187460000008</v>
      </c>
      <c r="P34" s="40">
        <f t="shared" si="5"/>
        <v>27900.187460000005</v>
      </c>
      <c r="Q34" s="58" t="str">
        <f t="shared" si="0"/>
        <v>Cr</v>
      </c>
      <c r="R34" s="39"/>
      <c r="S34" s="22"/>
      <c r="T34" s="22"/>
      <c r="U34" s="22"/>
      <c r="V34" s="22"/>
      <c r="W34" s="22"/>
    </row>
    <row r="35" spans="1:24" x14ac:dyDescent="0.3">
      <c r="A35" s="60" t="s">
        <v>77</v>
      </c>
      <c r="B35" s="29">
        <v>6.6</v>
      </c>
      <c r="C35" s="29">
        <v>8.6999999999999993</v>
      </c>
      <c r="D35" s="29">
        <v>15.2</v>
      </c>
      <c r="E35" s="81">
        <f t="shared" si="1"/>
        <v>80.652000000000001</v>
      </c>
      <c r="F35" s="29">
        <v>7</v>
      </c>
      <c r="G35" s="29">
        <v>8.5</v>
      </c>
      <c r="H35" s="29">
        <v>14.5</v>
      </c>
      <c r="I35" s="55">
        <f t="shared" si="2"/>
        <v>85.54</v>
      </c>
      <c r="J35" s="39">
        <f t="shared" si="3"/>
        <v>2466.2404000000001</v>
      </c>
      <c r="L35" s="60" t="s">
        <v>77</v>
      </c>
      <c r="M35" s="56"/>
      <c r="N35" s="39"/>
      <c r="O35" s="39">
        <f t="shared" si="4"/>
        <v>42207.427860000011</v>
      </c>
      <c r="P35" s="40">
        <f t="shared" si="5"/>
        <v>30366.427860000003</v>
      </c>
      <c r="Q35" s="58" t="str">
        <f t="shared" si="0"/>
        <v>Cr</v>
      </c>
      <c r="R35" s="39"/>
      <c r="S35" s="22"/>
      <c r="T35" s="22"/>
      <c r="U35" s="22"/>
      <c r="V35" s="22"/>
      <c r="W35" s="22"/>
    </row>
    <row r="36" spans="1:24" x14ac:dyDescent="0.3">
      <c r="A36" s="60" t="s">
        <v>77</v>
      </c>
      <c r="B36" s="39">
        <v>9</v>
      </c>
      <c r="C36" s="39">
        <v>9.6</v>
      </c>
      <c r="D36" s="39">
        <v>4</v>
      </c>
      <c r="E36" s="81">
        <f t="shared" si="1"/>
        <v>109.98</v>
      </c>
      <c r="F36" s="39"/>
      <c r="G36" s="39"/>
      <c r="H36" s="39"/>
      <c r="I36" s="55">
        <f t="shared" si="2"/>
        <v>0</v>
      </c>
      <c r="J36" s="39">
        <f t="shared" si="3"/>
        <v>439.92</v>
      </c>
      <c r="L36" s="60" t="s">
        <v>77</v>
      </c>
      <c r="M36" s="56"/>
      <c r="N36" s="39"/>
      <c r="O36" s="39">
        <f t="shared" si="4"/>
        <v>42647.347860000009</v>
      </c>
      <c r="P36" s="40">
        <f t="shared" si="5"/>
        <v>30806.347860000002</v>
      </c>
      <c r="Q36" s="58" t="str">
        <f t="shared" si="0"/>
        <v>Cr</v>
      </c>
      <c r="R36" s="39"/>
      <c r="S36" s="22"/>
      <c r="T36" s="22"/>
      <c r="U36" s="22"/>
      <c r="V36" s="22"/>
      <c r="W36" s="22"/>
      <c r="X36" s="22"/>
    </row>
    <row r="37" spans="1:24" x14ac:dyDescent="0.3">
      <c r="A37" s="60" t="s">
        <v>78</v>
      </c>
      <c r="B37" s="101">
        <v>7.1</v>
      </c>
      <c r="C37" s="101">
        <v>8.6999999999999993</v>
      </c>
      <c r="D37" s="101">
        <v>17</v>
      </c>
      <c r="E37" s="81">
        <f t="shared" si="1"/>
        <v>86.762</v>
      </c>
      <c r="F37" s="39">
        <v>7</v>
      </c>
      <c r="G37" s="39">
        <v>8.5</v>
      </c>
      <c r="H37" s="39">
        <v>14.5</v>
      </c>
      <c r="I37" s="55">
        <f t="shared" si="2"/>
        <v>85.54</v>
      </c>
      <c r="J37" s="39">
        <f t="shared" si="3"/>
        <v>2715.2840000000001</v>
      </c>
      <c r="L37" s="60" t="s">
        <v>78</v>
      </c>
      <c r="M37" s="56"/>
      <c r="N37" s="39">
        <v>33632.976999999999</v>
      </c>
      <c r="O37" s="39">
        <f t="shared" si="4"/>
        <v>45362.631860000009</v>
      </c>
      <c r="P37" s="40">
        <f>(P36+J37-N37)</f>
        <v>-111.34513999999763</v>
      </c>
      <c r="Q37" s="58" t="str">
        <f t="shared" si="0"/>
        <v>Dr</v>
      </c>
      <c r="R37" s="39"/>
      <c r="S37" s="22"/>
      <c r="T37" s="22"/>
      <c r="U37" s="22"/>
      <c r="V37" s="22"/>
      <c r="W37" s="22"/>
      <c r="X37" s="22"/>
    </row>
    <row r="38" spans="1:24" x14ac:dyDescent="0.3">
      <c r="A38" s="60" t="s">
        <v>79</v>
      </c>
      <c r="B38" s="39">
        <v>7.7</v>
      </c>
      <c r="C38" s="39">
        <v>9.3000000000000007</v>
      </c>
      <c r="D38" s="39">
        <v>17.3</v>
      </c>
      <c r="E38" s="81">
        <f t="shared" si="1"/>
        <v>94.094000000000008</v>
      </c>
      <c r="F38" s="39">
        <v>6.7</v>
      </c>
      <c r="G38" s="39">
        <v>8.5</v>
      </c>
      <c r="H38" s="39">
        <v>16</v>
      </c>
      <c r="I38" s="55">
        <f t="shared" si="2"/>
        <v>81.874000000000009</v>
      </c>
      <c r="J38" s="39">
        <f t="shared" si="3"/>
        <v>2937.8102000000003</v>
      </c>
      <c r="L38" s="60" t="s">
        <v>79</v>
      </c>
      <c r="M38" s="56"/>
      <c r="N38" s="39"/>
      <c r="O38" s="39">
        <f t="shared" si="4"/>
        <v>48300.442060000008</v>
      </c>
      <c r="P38" s="40">
        <f t="shared" si="5"/>
        <v>2826.4650600000027</v>
      </c>
      <c r="Q38" s="58" t="str">
        <f t="shared" si="0"/>
        <v>Cr</v>
      </c>
      <c r="R38" s="39"/>
      <c r="S38" s="22"/>
      <c r="T38" s="22"/>
      <c r="U38" s="22"/>
      <c r="V38" s="22"/>
      <c r="W38" s="22"/>
      <c r="X38" s="22"/>
    </row>
    <row r="39" spans="1:24" x14ac:dyDescent="0.3">
      <c r="A39" s="103" t="s">
        <v>80</v>
      </c>
      <c r="B39" s="104"/>
      <c r="C39" s="104"/>
      <c r="D39" s="104"/>
      <c r="E39" s="81">
        <f t="shared" si="1"/>
        <v>0</v>
      </c>
      <c r="F39" s="104"/>
      <c r="G39" s="104"/>
      <c r="H39" s="104"/>
      <c r="I39" s="55">
        <f t="shared" si="2"/>
        <v>0</v>
      </c>
      <c r="J39" s="104">
        <f t="shared" si="3"/>
        <v>0</v>
      </c>
      <c r="L39" s="103" t="s">
        <v>80</v>
      </c>
      <c r="M39" s="56"/>
      <c r="N39" s="39"/>
      <c r="O39" s="39">
        <f t="shared" si="4"/>
        <v>48300.442060000008</v>
      </c>
      <c r="P39" s="40">
        <f t="shared" si="5"/>
        <v>2826.4650600000027</v>
      </c>
      <c r="Q39" s="58" t="str">
        <f t="shared" si="0"/>
        <v>Cr</v>
      </c>
      <c r="R39" s="39"/>
      <c r="S39" s="22"/>
      <c r="T39" s="22"/>
      <c r="U39" s="22"/>
      <c r="V39" s="22"/>
      <c r="W39" s="22"/>
      <c r="X39" s="22"/>
    </row>
    <row r="40" spans="1:24" x14ac:dyDescent="0.3">
      <c r="A40" s="60" t="s">
        <v>81</v>
      </c>
      <c r="B40" s="39">
        <v>7.6</v>
      </c>
      <c r="C40" s="39">
        <v>9.9</v>
      </c>
      <c r="D40" s="39">
        <v>16.100000000000001</v>
      </c>
      <c r="E40" s="81">
        <f t="shared" si="1"/>
        <v>92.872</v>
      </c>
      <c r="F40" s="39">
        <v>6.7</v>
      </c>
      <c r="G40" s="39">
        <v>8.9</v>
      </c>
      <c r="H40" s="39">
        <v>13.8</v>
      </c>
      <c r="I40" s="55">
        <f t="shared" si="2"/>
        <v>81.874000000000009</v>
      </c>
      <c r="J40" s="39">
        <f t="shared" si="3"/>
        <v>2625.1004000000003</v>
      </c>
      <c r="L40" s="60" t="s">
        <v>81</v>
      </c>
      <c r="M40" s="56"/>
      <c r="N40" s="39"/>
      <c r="O40" s="39">
        <f t="shared" si="4"/>
        <v>50925.542460000011</v>
      </c>
      <c r="P40" s="40">
        <f t="shared" si="5"/>
        <v>5451.5654600000034</v>
      </c>
      <c r="Q40" s="58" t="str">
        <f t="shared" si="0"/>
        <v>Cr</v>
      </c>
      <c r="R40" s="39"/>
      <c r="S40" s="22"/>
      <c r="T40" s="22"/>
      <c r="U40" s="22"/>
      <c r="V40" s="22"/>
      <c r="W40" s="22"/>
      <c r="X40" s="22"/>
    </row>
    <row r="41" spans="1:24" x14ac:dyDescent="0.3">
      <c r="A41" s="60" t="s">
        <v>82</v>
      </c>
      <c r="B41" s="39">
        <v>7.9</v>
      </c>
      <c r="C41" s="39">
        <v>9.1999999999999993</v>
      </c>
      <c r="D41" s="39">
        <v>17.7</v>
      </c>
      <c r="E41" s="81">
        <f t="shared" si="1"/>
        <v>96.538000000000011</v>
      </c>
      <c r="F41" s="39">
        <v>7</v>
      </c>
      <c r="G41" s="39">
        <v>8.3000000000000007</v>
      </c>
      <c r="H41" s="39">
        <v>12.3</v>
      </c>
      <c r="I41" s="55">
        <f t="shared" si="2"/>
        <v>85.54</v>
      </c>
      <c r="J41" s="39">
        <f t="shared" si="3"/>
        <v>2760.8645999999999</v>
      </c>
      <c r="L41" s="60" t="s">
        <v>82</v>
      </c>
      <c r="M41" s="56"/>
      <c r="N41" s="39"/>
      <c r="O41" s="39">
        <f t="shared" si="4"/>
        <v>53686.407060000012</v>
      </c>
      <c r="P41" s="40">
        <f t="shared" si="5"/>
        <v>8212.4300600000024</v>
      </c>
      <c r="Q41" s="58" t="str">
        <f t="shared" si="0"/>
        <v>Cr</v>
      </c>
      <c r="R41" s="39"/>
      <c r="S41" s="22"/>
      <c r="T41" s="22"/>
      <c r="U41" s="22"/>
      <c r="V41" s="22"/>
      <c r="W41" s="22"/>
      <c r="X41" s="22"/>
    </row>
    <row r="42" spans="1:24" x14ac:dyDescent="0.3">
      <c r="A42" s="60" t="s">
        <v>83</v>
      </c>
      <c r="B42" s="39">
        <v>7</v>
      </c>
      <c r="C42" s="39">
        <v>8.8000000000000007</v>
      </c>
      <c r="D42" s="39">
        <v>17.100000000000001</v>
      </c>
      <c r="E42" s="81">
        <f t="shared" si="1"/>
        <v>85.54</v>
      </c>
      <c r="F42" s="39">
        <v>6.8</v>
      </c>
      <c r="G42" s="39">
        <v>6.8</v>
      </c>
      <c r="H42" s="39">
        <v>15.3</v>
      </c>
      <c r="I42" s="55">
        <f t="shared" si="2"/>
        <v>83.096000000000004</v>
      </c>
      <c r="J42" s="39">
        <f t="shared" si="3"/>
        <v>2734.1028000000006</v>
      </c>
      <c r="L42" s="60" t="s">
        <v>83</v>
      </c>
      <c r="M42" s="56"/>
      <c r="N42" s="39"/>
      <c r="O42" s="39">
        <f t="shared" si="4"/>
        <v>56420.509860000013</v>
      </c>
      <c r="P42" s="40">
        <f t="shared" si="5"/>
        <v>10946.532860000003</v>
      </c>
      <c r="Q42" s="58" t="str">
        <f t="shared" si="0"/>
        <v>Cr</v>
      </c>
      <c r="R42" s="39"/>
      <c r="S42" s="22"/>
      <c r="T42" s="22"/>
      <c r="U42" s="22"/>
      <c r="V42" s="22"/>
      <c r="W42" s="22"/>
      <c r="X42" s="22"/>
    </row>
    <row r="43" spans="1:24" x14ac:dyDescent="0.3">
      <c r="A43" s="60" t="s">
        <v>84</v>
      </c>
      <c r="B43" s="39">
        <v>7.2</v>
      </c>
      <c r="C43" s="39">
        <v>8.9</v>
      </c>
      <c r="D43" s="39">
        <v>18.77</v>
      </c>
      <c r="E43" s="81">
        <f t="shared" si="1"/>
        <v>87.984000000000009</v>
      </c>
      <c r="F43" s="39">
        <v>6.9</v>
      </c>
      <c r="G43" s="39">
        <v>8.6</v>
      </c>
      <c r="H43" s="39">
        <v>14.7</v>
      </c>
      <c r="I43" s="55">
        <f t="shared" si="2"/>
        <v>84.318000000000012</v>
      </c>
      <c r="J43" s="39">
        <f t="shared" si="3"/>
        <v>2890.9342800000004</v>
      </c>
      <c r="L43" s="60" t="s">
        <v>84</v>
      </c>
      <c r="M43" s="56"/>
      <c r="N43" s="39"/>
      <c r="O43" s="39">
        <f t="shared" si="4"/>
        <v>59311.444140000014</v>
      </c>
      <c r="P43" s="40">
        <f t="shared" si="5"/>
        <v>13837.467140000004</v>
      </c>
      <c r="Q43" s="58" t="str">
        <f t="shared" si="0"/>
        <v>Cr</v>
      </c>
      <c r="R43" s="39"/>
      <c r="S43" s="72"/>
      <c r="T43" s="22"/>
      <c r="U43" s="22"/>
      <c r="V43" s="22"/>
      <c r="W43" s="22"/>
      <c r="X43" s="22"/>
    </row>
    <row r="44" spans="1:24" x14ac:dyDescent="0.3">
      <c r="A44" s="60" t="s">
        <v>85</v>
      </c>
      <c r="B44" s="39">
        <v>7.1</v>
      </c>
      <c r="C44" s="39">
        <v>8.9</v>
      </c>
      <c r="D44" s="39">
        <v>19.399999999999999</v>
      </c>
      <c r="E44" s="81">
        <f t="shared" si="1"/>
        <v>86.762</v>
      </c>
      <c r="F44" s="39">
        <v>7.3</v>
      </c>
      <c r="G44" s="39">
        <v>9.1999999999999993</v>
      </c>
      <c r="H44" s="39">
        <v>15</v>
      </c>
      <c r="I44" s="55">
        <f t="shared" si="2"/>
        <v>89.206000000000003</v>
      </c>
      <c r="J44" s="39">
        <f t="shared" si="3"/>
        <v>3021.2727999999997</v>
      </c>
      <c r="L44" s="60" t="s">
        <v>85</v>
      </c>
      <c r="M44" s="56"/>
      <c r="N44" s="39"/>
      <c r="O44" s="39">
        <f t="shared" si="4"/>
        <v>62332.716940000013</v>
      </c>
      <c r="P44" s="40">
        <f t="shared" si="5"/>
        <v>16858.739940000003</v>
      </c>
      <c r="Q44" s="58" t="str">
        <f t="shared" si="0"/>
        <v>Cr</v>
      </c>
      <c r="R44" s="39"/>
      <c r="S44" s="22"/>
      <c r="T44" s="22"/>
      <c r="U44" s="22"/>
      <c r="V44" s="22"/>
      <c r="W44" s="22"/>
      <c r="X44" s="22"/>
    </row>
    <row r="45" spans="1:24" x14ac:dyDescent="0.3">
      <c r="A45" s="60" t="s">
        <v>86</v>
      </c>
      <c r="B45" s="39">
        <v>7.2</v>
      </c>
      <c r="C45" s="39">
        <v>8.8000000000000007</v>
      </c>
      <c r="D45" s="39">
        <v>17.600000000000001</v>
      </c>
      <c r="E45" s="81">
        <f t="shared" si="1"/>
        <v>87.984000000000009</v>
      </c>
      <c r="F45" s="39">
        <v>7.4</v>
      </c>
      <c r="G45" s="39">
        <v>9.1999999999999993</v>
      </c>
      <c r="H45" s="39">
        <v>14.8</v>
      </c>
      <c r="I45" s="55">
        <f t="shared" si="2"/>
        <v>90.428000000000011</v>
      </c>
      <c r="J45" s="39">
        <f t="shared" si="3"/>
        <v>2886.8528000000006</v>
      </c>
      <c r="L45" s="60" t="s">
        <v>86</v>
      </c>
      <c r="M45" s="56"/>
      <c r="N45" s="39"/>
      <c r="O45" s="39">
        <f t="shared" si="4"/>
        <v>65219.569740000014</v>
      </c>
      <c r="P45" s="40">
        <f t="shared" si="5"/>
        <v>19745.592740000004</v>
      </c>
      <c r="Q45" s="58" t="str">
        <f t="shared" si="0"/>
        <v>Cr</v>
      </c>
      <c r="R45" s="39"/>
      <c r="S45" s="22"/>
      <c r="T45" s="22"/>
      <c r="U45" s="22"/>
      <c r="V45" s="22"/>
      <c r="W45" s="22"/>
      <c r="X45" s="22"/>
    </row>
    <row r="46" spans="1:24" x14ac:dyDescent="0.3">
      <c r="A46" s="60" t="s">
        <v>87</v>
      </c>
      <c r="B46" s="39">
        <v>7.3</v>
      </c>
      <c r="C46" s="39">
        <v>8.6</v>
      </c>
      <c r="D46" s="39">
        <v>19.399999999999999</v>
      </c>
      <c r="E46" s="81">
        <f t="shared" si="1"/>
        <v>89.206000000000003</v>
      </c>
      <c r="F46" s="39">
        <v>6.9</v>
      </c>
      <c r="G46" s="39">
        <v>8.6</v>
      </c>
      <c r="H46" s="39">
        <v>16.14</v>
      </c>
      <c r="I46" s="55">
        <f t="shared" si="2"/>
        <v>84.318000000000012</v>
      </c>
      <c r="J46" s="39">
        <f t="shared" si="3"/>
        <v>3091.4889200000002</v>
      </c>
      <c r="L46" s="60" t="s">
        <v>87</v>
      </c>
      <c r="M46" s="56"/>
      <c r="N46" s="39"/>
      <c r="O46" s="39">
        <f t="shared" si="4"/>
        <v>68311.05866000001</v>
      </c>
      <c r="P46" s="40">
        <f t="shared" si="5"/>
        <v>22837.081660000003</v>
      </c>
      <c r="Q46" s="58" t="str">
        <f t="shared" si="0"/>
        <v>Cr</v>
      </c>
      <c r="R46" s="39"/>
      <c r="S46" s="22"/>
      <c r="T46" s="22"/>
      <c r="U46" s="22"/>
      <c r="V46" s="22"/>
      <c r="W46" s="22"/>
      <c r="X46" s="22"/>
    </row>
    <row r="47" spans="1:24" x14ac:dyDescent="0.3">
      <c r="A47" s="60" t="s">
        <v>88</v>
      </c>
      <c r="B47" s="39">
        <v>7.1</v>
      </c>
      <c r="C47" s="39">
        <v>8.8000000000000007</v>
      </c>
      <c r="D47" s="39">
        <v>19.399999999999999</v>
      </c>
      <c r="E47" s="81">
        <f t="shared" si="1"/>
        <v>86.762</v>
      </c>
      <c r="F47" s="39">
        <v>7</v>
      </c>
      <c r="G47" s="39">
        <v>8.6999999999999993</v>
      </c>
      <c r="H47" s="39">
        <v>16.100000000000001</v>
      </c>
      <c r="I47" s="55">
        <f t="shared" si="2"/>
        <v>85.54</v>
      </c>
      <c r="J47" s="39">
        <f t="shared" si="3"/>
        <v>3060.3768</v>
      </c>
      <c r="L47" s="60" t="s">
        <v>88</v>
      </c>
      <c r="M47" s="56"/>
      <c r="N47" s="39"/>
      <c r="O47" s="39">
        <f t="shared" si="4"/>
        <v>71371.435460000008</v>
      </c>
      <c r="P47" s="40">
        <f t="shared" si="5"/>
        <v>25897.458460000002</v>
      </c>
      <c r="Q47" s="58" t="str">
        <f t="shared" si="0"/>
        <v>Cr</v>
      </c>
      <c r="R47" s="39"/>
      <c r="S47" s="22"/>
      <c r="T47" s="22"/>
      <c r="U47" s="22"/>
      <c r="V47" s="22"/>
      <c r="W47" s="22"/>
      <c r="X47" s="22"/>
    </row>
    <row r="48" spans="1:24" x14ac:dyDescent="0.3">
      <c r="A48" s="60" t="s">
        <v>89</v>
      </c>
      <c r="B48" s="39">
        <v>7.1</v>
      </c>
      <c r="C48" s="39">
        <v>8.8000000000000007</v>
      </c>
      <c r="D48" s="39">
        <v>20.5</v>
      </c>
      <c r="E48" s="81">
        <f t="shared" si="1"/>
        <v>86.762</v>
      </c>
      <c r="F48" s="39">
        <v>6.8</v>
      </c>
      <c r="G48" s="39">
        <v>8.5</v>
      </c>
      <c r="H48" s="39">
        <v>13.6</v>
      </c>
      <c r="I48" s="55">
        <f t="shared" si="2"/>
        <v>83.096000000000004</v>
      </c>
      <c r="J48" s="39">
        <f t="shared" si="3"/>
        <v>2908.7266</v>
      </c>
      <c r="L48" s="60" t="s">
        <v>89</v>
      </c>
      <c r="M48" s="56"/>
      <c r="N48" s="39"/>
      <c r="O48" s="39">
        <f t="shared" si="4"/>
        <v>74280.162060000002</v>
      </c>
      <c r="P48" s="40">
        <f t="shared" si="5"/>
        <v>28806.185060000003</v>
      </c>
      <c r="Q48" s="58" t="str">
        <f t="shared" si="0"/>
        <v>Cr</v>
      </c>
      <c r="R48" s="39"/>
      <c r="S48" s="22"/>
      <c r="T48" s="22"/>
      <c r="U48" s="22"/>
      <c r="V48" s="22"/>
      <c r="W48" s="22"/>
      <c r="X48" s="22"/>
    </row>
    <row r="49" spans="1:24" x14ac:dyDescent="0.3">
      <c r="A49" s="60" t="s">
        <v>90</v>
      </c>
      <c r="B49" s="39">
        <v>6.9</v>
      </c>
      <c r="C49" s="39">
        <v>8.6</v>
      </c>
      <c r="D49" s="39">
        <v>18.5</v>
      </c>
      <c r="E49" s="81">
        <f t="shared" si="1"/>
        <v>84.318000000000012</v>
      </c>
      <c r="F49" s="39">
        <v>7.1</v>
      </c>
      <c r="G49" s="39">
        <v>8.4</v>
      </c>
      <c r="H49" s="39">
        <v>15.6</v>
      </c>
      <c r="I49" s="55">
        <f t="shared" si="2"/>
        <v>86.762</v>
      </c>
      <c r="J49" s="39">
        <f t="shared" si="3"/>
        <v>2913.3702000000003</v>
      </c>
      <c r="L49" s="60" t="s">
        <v>90</v>
      </c>
      <c r="M49" s="56"/>
      <c r="N49" s="39"/>
      <c r="O49" s="39">
        <f t="shared" si="4"/>
        <v>77193.532260000007</v>
      </c>
      <c r="P49" s="40">
        <f t="shared" si="5"/>
        <v>31719.555260000005</v>
      </c>
      <c r="Q49" s="58" t="str">
        <f t="shared" si="0"/>
        <v>Cr</v>
      </c>
      <c r="R49" s="39"/>
      <c r="S49" s="22"/>
      <c r="T49" s="22"/>
      <c r="U49" s="22"/>
      <c r="V49" s="22"/>
      <c r="W49" s="22"/>
      <c r="X49" s="22"/>
    </row>
    <row r="50" spans="1:24" x14ac:dyDescent="0.3">
      <c r="A50" s="60" t="s">
        <v>91</v>
      </c>
      <c r="B50" s="39">
        <v>7.3</v>
      </c>
      <c r="C50" s="39">
        <v>8.6999999999999993</v>
      </c>
      <c r="D50" s="39">
        <v>19.899999999999999</v>
      </c>
      <c r="E50" s="81">
        <f t="shared" si="1"/>
        <v>89.206000000000003</v>
      </c>
      <c r="F50" s="39">
        <v>7.6</v>
      </c>
      <c r="G50" s="39">
        <v>8.4</v>
      </c>
      <c r="H50" s="39">
        <v>14.8</v>
      </c>
      <c r="I50" s="55">
        <f t="shared" si="2"/>
        <v>92.872</v>
      </c>
      <c r="J50" s="39">
        <f t="shared" si="3"/>
        <v>3149.7049999999999</v>
      </c>
      <c r="L50" s="60" t="s">
        <v>91</v>
      </c>
      <c r="M50" s="56"/>
      <c r="N50" s="39"/>
      <c r="O50" s="39">
        <f t="shared" si="4"/>
        <v>80343.237260000009</v>
      </c>
      <c r="P50" s="40">
        <f t="shared" si="5"/>
        <v>34869.260260000003</v>
      </c>
      <c r="Q50" s="58" t="str">
        <f t="shared" si="0"/>
        <v>Cr</v>
      </c>
      <c r="R50" s="39"/>
      <c r="S50" s="22"/>
      <c r="T50" s="22"/>
      <c r="U50" s="22"/>
      <c r="V50" s="22"/>
      <c r="W50" s="22"/>
      <c r="X50" s="22"/>
    </row>
    <row r="51" spans="1:24" x14ac:dyDescent="0.3">
      <c r="A51" s="60" t="s">
        <v>92</v>
      </c>
      <c r="B51" s="39">
        <v>7.2</v>
      </c>
      <c r="C51" s="39">
        <v>8.6</v>
      </c>
      <c r="D51" s="39">
        <v>20.3</v>
      </c>
      <c r="E51" s="81">
        <f t="shared" si="1"/>
        <v>87.984000000000009</v>
      </c>
      <c r="F51" s="39">
        <v>7.5</v>
      </c>
      <c r="G51" s="39">
        <v>8.3000000000000007</v>
      </c>
      <c r="H51" s="39">
        <v>15.1</v>
      </c>
      <c r="I51" s="55">
        <f t="shared" si="2"/>
        <v>91.65</v>
      </c>
      <c r="J51" s="39">
        <f t="shared" si="3"/>
        <v>3169.9902000000002</v>
      </c>
      <c r="L51" s="60" t="s">
        <v>92</v>
      </c>
      <c r="M51" s="56"/>
      <c r="N51" s="39"/>
      <c r="O51" s="39">
        <f t="shared" si="4"/>
        <v>83513.227460000009</v>
      </c>
      <c r="P51" s="40">
        <f t="shared" si="5"/>
        <v>38039.250460000003</v>
      </c>
      <c r="Q51" s="58" t="str">
        <f t="shared" si="0"/>
        <v>Cr</v>
      </c>
      <c r="R51" s="39"/>
      <c r="S51" s="22"/>
      <c r="T51" s="22"/>
      <c r="U51" s="22"/>
      <c r="V51" s="22"/>
      <c r="W51" s="22"/>
      <c r="X51" s="22"/>
    </row>
    <row r="52" spans="1:24" x14ac:dyDescent="0.3">
      <c r="A52" s="60" t="s">
        <v>93</v>
      </c>
      <c r="B52" s="39">
        <v>7.7</v>
      </c>
      <c r="C52" s="39">
        <v>8.6999999999999993</v>
      </c>
      <c r="D52" s="39">
        <v>14.7</v>
      </c>
      <c r="E52" s="81">
        <f t="shared" si="1"/>
        <v>94.094000000000008</v>
      </c>
      <c r="F52" s="39">
        <v>7.7</v>
      </c>
      <c r="G52" s="39">
        <v>8.5</v>
      </c>
      <c r="H52" s="39">
        <v>15.7</v>
      </c>
      <c r="I52" s="55">
        <f t="shared" si="2"/>
        <v>94.094000000000008</v>
      </c>
      <c r="J52" s="39">
        <f t="shared" si="3"/>
        <v>2860.4576000000002</v>
      </c>
      <c r="L52" s="60" t="s">
        <v>93</v>
      </c>
      <c r="M52" s="56"/>
      <c r="N52" s="39">
        <v>35000</v>
      </c>
      <c r="O52" s="39">
        <f t="shared" si="4"/>
        <v>86373.685060000003</v>
      </c>
      <c r="P52" s="40">
        <f>(P51+J52-N52)</f>
        <v>5899.7080600000045</v>
      </c>
      <c r="Q52" s="58" t="str">
        <f t="shared" si="0"/>
        <v>Cr</v>
      </c>
      <c r="R52" s="39"/>
      <c r="S52" s="22"/>
      <c r="T52" s="22"/>
      <c r="U52" s="22"/>
      <c r="V52" s="22"/>
      <c r="W52" s="22"/>
      <c r="X52" s="22"/>
    </row>
    <row r="53" spans="1:24" x14ac:dyDescent="0.3"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3"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3"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3"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3"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3"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x14ac:dyDescent="0.3"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x14ac:dyDescent="0.3"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3"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3"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3"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3"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2:24" x14ac:dyDescent="0.3"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2:24" x14ac:dyDescent="0.3"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2:24" x14ac:dyDescent="0.3"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2:24" x14ac:dyDescent="0.3"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2:24" x14ac:dyDescent="0.3"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2:24" x14ac:dyDescent="0.3"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2:24" x14ac:dyDescent="0.3"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</sheetData>
  <mergeCells count="10">
    <mergeCell ref="F7:I7"/>
    <mergeCell ref="A7:D7"/>
    <mergeCell ref="Q2:S2"/>
    <mergeCell ref="N2:P2"/>
    <mergeCell ref="N3:O3"/>
    <mergeCell ref="A3:E3"/>
    <mergeCell ref="I3:J3"/>
    <mergeCell ref="B2:G2"/>
    <mergeCell ref="A5:E5"/>
    <mergeCell ref="I2:K2"/>
  </mergeCells>
  <hyperlinks>
    <hyperlink ref="I2" location="'Customer Index'!A8" display="Customer Code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82"/>
  <sheetViews>
    <sheetView zoomScale="115" zoomScaleNormal="115" workbookViewId="0">
      <selection activeCell="B4" sqref="B4:I4"/>
    </sheetView>
  </sheetViews>
  <sheetFormatPr defaultColWidth="8.77734375" defaultRowHeight="14.4" x14ac:dyDescent="0.3"/>
  <cols>
    <col min="1" max="1" width="12.44140625" customWidth="1"/>
    <col min="2" max="4" width="5" bestFit="1" customWidth="1"/>
    <col min="5" max="5" width="9.33203125" customWidth="1"/>
    <col min="6" max="6" width="5" customWidth="1"/>
    <col min="7" max="7" width="5" bestFit="1" customWidth="1"/>
    <col min="8" max="8" width="6.33203125" customWidth="1"/>
    <col min="9" max="9" width="7.88671875" bestFit="1" customWidth="1"/>
    <col min="10" max="10" width="10" bestFit="1" customWidth="1"/>
  </cols>
  <sheetData>
    <row r="4" spans="1:10" x14ac:dyDescent="0.3">
      <c r="B4" s="94" t="s">
        <v>42</v>
      </c>
      <c r="C4" s="94"/>
      <c r="D4" s="94"/>
      <c r="E4" s="94"/>
      <c r="F4" s="94"/>
      <c r="G4" s="94"/>
      <c r="H4" s="94"/>
      <c r="I4" s="94"/>
    </row>
    <row r="8" spans="1:10" ht="21" x14ac:dyDescent="0.4">
      <c r="A8" s="109" t="s">
        <v>5</v>
      </c>
      <c r="B8" s="90"/>
      <c r="C8" s="90"/>
      <c r="D8" s="90"/>
      <c r="E8" s="79"/>
      <c r="F8" s="109" t="s">
        <v>10</v>
      </c>
      <c r="G8" s="90"/>
      <c r="H8" s="90"/>
      <c r="I8" s="91"/>
      <c r="J8" s="44"/>
    </row>
    <row r="9" spans="1:10" x14ac:dyDescent="0.3">
      <c r="A9" s="48" t="s">
        <v>47</v>
      </c>
      <c r="B9" s="48" t="s">
        <v>7</v>
      </c>
      <c r="C9" s="48" t="s">
        <v>8</v>
      </c>
      <c r="D9" s="48" t="s">
        <v>48</v>
      </c>
      <c r="E9" s="80" t="s">
        <v>49</v>
      </c>
      <c r="F9" s="48" t="s">
        <v>7</v>
      </c>
      <c r="G9" s="48" t="s">
        <v>8</v>
      </c>
      <c r="H9" s="48" t="s">
        <v>48</v>
      </c>
      <c r="I9" s="110" t="s">
        <v>49</v>
      </c>
      <c r="J9" s="110" t="s">
        <v>9</v>
      </c>
    </row>
    <row r="10" spans="1:10" x14ac:dyDescent="0.3">
      <c r="A10" s="53" t="s">
        <v>55</v>
      </c>
      <c r="B10" s="54">
        <v>5.6</v>
      </c>
      <c r="C10" s="54">
        <v>7.5</v>
      </c>
      <c r="D10" s="54">
        <v>14</v>
      </c>
      <c r="E10" s="81">
        <f t="shared" ref="E10:E37" si="0">(B10*6.5+C10*4)</f>
        <v>66.400000000000006</v>
      </c>
      <c r="F10" s="55">
        <v>6.5</v>
      </c>
      <c r="G10" s="55">
        <v>9</v>
      </c>
      <c r="H10" s="55">
        <v>10</v>
      </c>
      <c r="I10" s="55">
        <f t="shared" ref="I10:I73" si="1">(F10*6.5+G10*4)</f>
        <v>78.25</v>
      </c>
      <c r="J10" s="39">
        <f>(E10*D10+H10*I10)</f>
        <v>1712.1000000000001</v>
      </c>
    </row>
    <row r="11" spans="1:10" x14ac:dyDescent="0.3">
      <c r="A11" s="53" t="s">
        <v>56</v>
      </c>
      <c r="B11" s="55">
        <v>6.6</v>
      </c>
      <c r="C11" s="55">
        <v>9.5</v>
      </c>
      <c r="D11" s="55">
        <v>11.4</v>
      </c>
      <c r="E11" s="81">
        <f t="shared" si="0"/>
        <v>80.900000000000006</v>
      </c>
      <c r="F11" s="39">
        <v>6.6</v>
      </c>
      <c r="G11" s="39">
        <v>9.5</v>
      </c>
      <c r="H11" s="39">
        <v>7</v>
      </c>
      <c r="I11" s="55">
        <f t="shared" si="1"/>
        <v>80.900000000000006</v>
      </c>
      <c r="J11" s="39">
        <f t="shared" ref="J10:J73" si="2">(E11*D11+H11*I11)</f>
        <v>1488.5600000000002</v>
      </c>
    </row>
    <row r="12" spans="1:10" x14ac:dyDescent="0.3">
      <c r="A12" s="53" t="s">
        <v>56</v>
      </c>
      <c r="B12" s="55">
        <v>9.5</v>
      </c>
      <c r="C12" s="55">
        <v>9.9</v>
      </c>
      <c r="D12" s="55">
        <v>2</v>
      </c>
      <c r="E12" s="81">
        <f t="shared" si="0"/>
        <v>101.35</v>
      </c>
      <c r="F12" s="39"/>
      <c r="G12" s="39"/>
      <c r="H12" s="39"/>
      <c r="I12" s="55">
        <f t="shared" si="1"/>
        <v>0</v>
      </c>
      <c r="J12" s="39">
        <f t="shared" si="2"/>
        <v>202.7</v>
      </c>
    </row>
    <row r="13" spans="1:10" x14ac:dyDescent="0.3">
      <c r="A13" s="53" t="s">
        <v>57</v>
      </c>
      <c r="B13" s="55">
        <v>8.9</v>
      </c>
      <c r="C13" s="55">
        <v>9.19</v>
      </c>
      <c r="D13" s="55">
        <v>2</v>
      </c>
      <c r="E13" s="81">
        <f t="shared" si="0"/>
        <v>94.61</v>
      </c>
      <c r="F13" s="39"/>
      <c r="G13" s="39"/>
      <c r="H13" s="39"/>
      <c r="I13" s="55">
        <f t="shared" si="1"/>
        <v>0</v>
      </c>
      <c r="J13" s="39">
        <f t="shared" si="2"/>
        <v>189.22</v>
      </c>
    </row>
    <row r="14" spans="1:10" x14ac:dyDescent="0.3">
      <c r="A14" s="60" t="s">
        <v>57</v>
      </c>
      <c r="B14" s="26">
        <v>6.65</v>
      </c>
      <c r="C14" s="26">
        <v>9.19</v>
      </c>
      <c r="D14" s="26">
        <v>7.5</v>
      </c>
      <c r="E14" s="81">
        <f t="shared" si="0"/>
        <v>79.984999999999999</v>
      </c>
      <c r="F14" s="26">
        <v>5.93</v>
      </c>
      <c r="G14" s="26">
        <v>9.02</v>
      </c>
      <c r="H14" s="26">
        <v>7</v>
      </c>
      <c r="I14" s="55">
        <f t="shared" si="1"/>
        <v>74.625</v>
      </c>
      <c r="J14" s="39">
        <f t="shared" si="2"/>
        <v>1122.2625</v>
      </c>
    </row>
    <row r="15" spans="1:10" x14ac:dyDescent="0.3">
      <c r="A15" s="60" t="s">
        <v>58</v>
      </c>
      <c r="B15" s="26">
        <v>8.18</v>
      </c>
      <c r="C15" s="26">
        <v>9.4700000000000006</v>
      </c>
      <c r="D15" s="26">
        <v>2.6</v>
      </c>
      <c r="E15" s="81">
        <f t="shared" si="0"/>
        <v>91.050000000000011</v>
      </c>
      <c r="F15" s="39">
        <v>9.98</v>
      </c>
      <c r="G15" s="39">
        <v>9.1</v>
      </c>
      <c r="H15" s="39">
        <v>7.5</v>
      </c>
      <c r="I15" s="55">
        <f t="shared" si="1"/>
        <v>101.27000000000001</v>
      </c>
      <c r="J15" s="39">
        <f t="shared" si="2"/>
        <v>996.25500000000011</v>
      </c>
    </row>
    <row r="16" spans="1:10" x14ac:dyDescent="0.3">
      <c r="A16" s="60" t="s">
        <v>58</v>
      </c>
      <c r="B16" s="26">
        <v>6.64</v>
      </c>
      <c r="C16" s="26">
        <v>9.2799999999999994</v>
      </c>
      <c r="D16" s="26">
        <v>7.5</v>
      </c>
      <c r="E16" s="81">
        <f t="shared" si="0"/>
        <v>80.28</v>
      </c>
      <c r="F16" s="39"/>
      <c r="G16" s="39"/>
      <c r="H16" s="39"/>
      <c r="I16" s="55">
        <f t="shared" si="1"/>
        <v>0</v>
      </c>
      <c r="J16" s="39">
        <f t="shared" si="2"/>
        <v>602.1</v>
      </c>
    </row>
    <row r="17" spans="1:10" x14ac:dyDescent="0.3">
      <c r="A17" s="60" t="s">
        <v>59</v>
      </c>
      <c r="B17" s="26">
        <v>8.77</v>
      </c>
      <c r="C17" s="26">
        <v>9.58</v>
      </c>
      <c r="D17" s="26">
        <v>2.5</v>
      </c>
      <c r="E17" s="81">
        <f t="shared" si="0"/>
        <v>95.324999999999989</v>
      </c>
      <c r="F17" s="39">
        <v>6.09</v>
      </c>
      <c r="G17" s="39">
        <v>8.74</v>
      </c>
      <c r="H17" s="39">
        <v>7</v>
      </c>
      <c r="I17" s="55">
        <f t="shared" si="1"/>
        <v>74.545000000000002</v>
      </c>
      <c r="J17" s="39">
        <f t="shared" si="2"/>
        <v>760.12750000000005</v>
      </c>
    </row>
    <row r="18" spans="1:10" x14ac:dyDescent="0.3">
      <c r="A18" s="60" t="s">
        <v>59</v>
      </c>
      <c r="B18" s="61">
        <v>6.89</v>
      </c>
      <c r="C18" s="61">
        <v>9.2799999999999994</v>
      </c>
      <c r="D18" s="61">
        <v>8</v>
      </c>
      <c r="E18" s="81">
        <f t="shared" si="0"/>
        <v>81.905000000000001</v>
      </c>
      <c r="F18" s="39"/>
      <c r="G18" s="39"/>
      <c r="H18" s="39"/>
      <c r="I18" s="55">
        <f t="shared" si="1"/>
        <v>0</v>
      </c>
      <c r="J18" s="39">
        <f t="shared" si="2"/>
        <v>655.24</v>
      </c>
    </row>
    <row r="19" spans="1:10" x14ac:dyDescent="0.3">
      <c r="A19" s="60" t="s">
        <v>60</v>
      </c>
      <c r="B19" s="26">
        <v>8.7899999999999991</v>
      </c>
      <c r="C19" s="26">
        <v>9.57</v>
      </c>
      <c r="D19" s="26">
        <v>2.7</v>
      </c>
      <c r="E19" s="81">
        <f t="shared" si="0"/>
        <v>95.414999999999992</v>
      </c>
      <c r="F19" s="39">
        <v>6.3</v>
      </c>
      <c r="G19" s="39">
        <v>8.77</v>
      </c>
      <c r="H19" s="39">
        <v>7.5</v>
      </c>
      <c r="I19" s="55">
        <f t="shared" si="1"/>
        <v>76.03</v>
      </c>
      <c r="J19" s="39">
        <f t="shared" si="2"/>
        <v>827.84550000000002</v>
      </c>
    </row>
    <row r="20" spans="1:10" x14ac:dyDescent="0.3">
      <c r="A20" s="60" t="s">
        <v>60</v>
      </c>
      <c r="B20" s="26">
        <v>6.59</v>
      </c>
      <c r="C20" s="26">
        <v>8.93</v>
      </c>
      <c r="D20" s="26">
        <v>8</v>
      </c>
      <c r="E20" s="81">
        <f t="shared" si="0"/>
        <v>78.555000000000007</v>
      </c>
      <c r="F20" s="39"/>
      <c r="G20" s="39"/>
      <c r="H20" s="39"/>
      <c r="I20" s="55">
        <f t="shared" si="1"/>
        <v>0</v>
      </c>
      <c r="J20" s="39">
        <f t="shared" si="2"/>
        <v>628.44000000000005</v>
      </c>
    </row>
    <row r="21" spans="1:10" x14ac:dyDescent="0.3">
      <c r="A21" s="60" t="s">
        <v>61</v>
      </c>
      <c r="B21" s="26">
        <v>7.2</v>
      </c>
      <c r="C21" s="26">
        <v>9.6</v>
      </c>
      <c r="D21" s="26">
        <v>10.5</v>
      </c>
      <c r="E21" s="81">
        <f t="shared" si="0"/>
        <v>85.2</v>
      </c>
      <c r="F21" s="39">
        <v>5.8</v>
      </c>
      <c r="G21" s="39">
        <v>8.9</v>
      </c>
      <c r="H21" s="39">
        <v>5</v>
      </c>
      <c r="I21" s="55">
        <f t="shared" si="1"/>
        <v>73.3</v>
      </c>
      <c r="J21" s="39">
        <f t="shared" si="2"/>
        <v>1261.0999999999999</v>
      </c>
    </row>
    <row r="22" spans="1:10" x14ac:dyDescent="0.3">
      <c r="A22" s="60" t="s">
        <v>62</v>
      </c>
      <c r="B22" s="26">
        <v>6.9</v>
      </c>
      <c r="C22" s="26">
        <v>9.5</v>
      </c>
      <c r="D22" s="26">
        <v>10</v>
      </c>
      <c r="E22" s="81">
        <f t="shared" si="0"/>
        <v>82.85</v>
      </c>
      <c r="F22" s="39">
        <v>6.8</v>
      </c>
      <c r="G22" s="39">
        <v>9.1999999999999993</v>
      </c>
      <c r="H22" s="39">
        <v>7</v>
      </c>
      <c r="I22" s="55">
        <f t="shared" si="1"/>
        <v>81</v>
      </c>
      <c r="J22" s="39">
        <f t="shared" si="2"/>
        <v>1395.5</v>
      </c>
    </row>
    <row r="23" spans="1:10" x14ac:dyDescent="0.3">
      <c r="A23" s="62" t="s">
        <v>63</v>
      </c>
      <c r="B23" s="63">
        <v>7.3</v>
      </c>
      <c r="C23" s="63">
        <v>9.5</v>
      </c>
      <c r="D23" s="63">
        <v>10.3</v>
      </c>
      <c r="E23" s="82">
        <f t="shared" si="0"/>
        <v>85.449999999999989</v>
      </c>
      <c r="F23" s="64">
        <v>6.6</v>
      </c>
      <c r="G23" s="64">
        <v>8.8000000000000007</v>
      </c>
      <c r="H23" s="64">
        <v>6.75</v>
      </c>
      <c r="I23" s="63">
        <f t="shared" si="1"/>
        <v>78.099999999999994</v>
      </c>
      <c r="J23" s="64">
        <f t="shared" si="2"/>
        <v>1407.31</v>
      </c>
    </row>
    <row r="24" spans="1:10" x14ac:dyDescent="0.3">
      <c r="A24" s="60" t="s">
        <v>64</v>
      </c>
      <c r="B24" s="26">
        <v>7.1</v>
      </c>
      <c r="C24" s="26">
        <v>9.4</v>
      </c>
      <c r="D24" s="26">
        <v>14.5</v>
      </c>
      <c r="E24" s="81">
        <f t="shared" si="0"/>
        <v>83.75</v>
      </c>
      <c r="F24" s="39">
        <v>6.5</v>
      </c>
      <c r="G24" s="39">
        <v>9</v>
      </c>
      <c r="H24" s="39">
        <v>9</v>
      </c>
      <c r="I24" s="55">
        <f t="shared" si="1"/>
        <v>78.25</v>
      </c>
      <c r="J24" s="39">
        <f t="shared" si="2"/>
        <v>1918.625</v>
      </c>
    </row>
    <row r="25" spans="1:10" x14ac:dyDescent="0.3">
      <c r="A25" s="60" t="s">
        <v>65</v>
      </c>
      <c r="B25" s="26">
        <v>7.2</v>
      </c>
      <c r="C25" s="26">
        <v>9.4</v>
      </c>
      <c r="D25" s="26">
        <v>14.5</v>
      </c>
      <c r="E25" s="81">
        <f t="shared" si="0"/>
        <v>84.4</v>
      </c>
      <c r="F25" s="39">
        <v>6.7</v>
      </c>
      <c r="G25" s="39">
        <v>8.9</v>
      </c>
      <c r="H25" s="39">
        <v>10.8</v>
      </c>
      <c r="I25" s="39">
        <f t="shared" si="1"/>
        <v>79.150000000000006</v>
      </c>
      <c r="J25" s="39">
        <f t="shared" si="2"/>
        <v>2078.6200000000003</v>
      </c>
    </row>
    <row r="26" spans="1:10" x14ac:dyDescent="0.3">
      <c r="A26" s="60" t="s">
        <v>66</v>
      </c>
      <c r="B26" s="26">
        <v>7.3</v>
      </c>
      <c r="C26" s="26">
        <v>9.5</v>
      </c>
      <c r="D26" s="26">
        <v>15.7</v>
      </c>
      <c r="E26" s="81">
        <f t="shared" si="0"/>
        <v>85.449999999999989</v>
      </c>
      <c r="F26" s="39">
        <v>7.1</v>
      </c>
      <c r="G26" s="39">
        <v>9</v>
      </c>
      <c r="H26" s="39">
        <v>10.3</v>
      </c>
      <c r="I26" s="39">
        <f t="shared" si="1"/>
        <v>82.15</v>
      </c>
      <c r="J26" s="39">
        <f t="shared" si="2"/>
        <v>2187.71</v>
      </c>
    </row>
    <row r="27" spans="1:10" x14ac:dyDescent="0.3">
      <c r="A27" s="60" t="s">
        <v>67</v>
      </c>
      <c r="B27" s="39">
        <v>7.2</v>
      </c>
      <c r="C27" s="39">
        <v>9.3000000000000007</v>
      </c>
      <c r="D27" s="39">
        <v>15.2</v>
      </c>
      <c r="E27" s="81">
        <f t="shared" si="0"/>
        <v>84</v>
      </c>
      <c r="F27" s="39">
        <v>7.6</v>
      </c>
      <c r="G27" s="39">
        <v>7.7</v>
      </c>
      <c r="H27" s="39">
        <v>10.8</v>
      </c>
      <c r="I27" s="39">
        <f t="shared" si="1"/>
        <v>80.2</v>
      </c>
      <c r="J27" s="39">
        <f t="shared" si="2"/>
        <v>2142.96</v>
      </c>
    </row>
    <row r="28" spans="1:10" x14ac:dyDescent="0.3">
      <c r="A28" s="60" t="s">
        <v>68</v>
      </c>
      <c r="B28" s="39">
        <v>7.5</v>
      </c>
      <c r="C28" s="39">
        <v>9.6</v>
      </c>
      <c r="D28" s="39">
        <v>15</v>
      </c>
      <c r="E28" s="81">
        <f t="shared" si="0"/>
        <v>87.15</v>
      </c>
      <c r="F28" s="39">
        <v>7.4</v>
      </c>
      <c r="G28" s="39">
        <v>9.4</v>
      </c>
      <c r="H28" s="39">
        <v>9.5</v>
      </c>
      <c r="I28" s="39">
        <f t="shared" si="1"/>
        <v>85.7</v>
      </c>
      <c r="J28" s="39">
        <f t="shared" si="2"/>
        <v>2121.4</v>
      </c>
    </row>
    <row r="29" spans="1:10" x14ac:dyDescent="0.3">
      <c r="A29" s="60" t="s">
        <v>69</v>
      </c>
      <c r="B29" s="39">
        <v>7.7</v>
      </c>
      <c r="C29" s="39">
        <v>9.5</v>
      </c>
      <c r="D29" s="39">
        <v>14.2</v>
      </c>
      <c r="E29" s="81">
        <f t="shared" si="0"/>
        <v>88.050000000000011</v>
      </c>
      <c r="F29" s="39">
        <v>6.8</v>
      </c>
      <c r="G29" s="39">
        <v>9</v>
      </c>
      <c r="H29" s="39">
        <v>9.98</v>
      </c>
      <c r="I29" s="39">
        <f t="shared" si="1"/>
        <v>80.199999999999989</v>
      </c>
      <c r="J29" s="39">
        <f t="shared" si="2"/>
        <v>2050.7060000000001</v>
      </c>
    </row>
    <row r="30" spans="1:10" x14ac:dyDescent="0.3">
      <c r="A30" s="60" t="s">
        <v>70</v>
      </c>
      <c r="B30" s="39">
        <v>7.1</v>
      </c>
      <c r="C30" s="39">
        <v>9.4</v>
      </c>
      <c r="D30" s="39">
        <v>15.5</v>
      </c>
      <c r="E30" s="81">
        <f t="shared" si="0"/>
        <v>83.75</v>
      </c>
      <c r="F30" s="39">
        <v>7.4</v>
      </c>
      <c r="G30" s="39">
        <v>8.9</v>
      </c>
      <c r="H30" s="39">
        <v>9.6199999999999992</v>
      </c>
      <c r="I30" s="39">
        <f t="shared" si="1"/>
        <v>83.7</v>
      </c>
      <c r="J30" s="39">
        <f t="shared" si="2"/>
        <v>2103.319</v>
      </c>
    </row>
    <row r="31" spans="1:10" x14ac:dyDescent="0.3">
      <c r="A31" s="60" t="s">
        <v>72</v>
      </c>
      <c r="B31" s="39">
        <v>7.4</v>
      </c>
      <c r="C31" s="39">
        <v>9.3000000000000007</v>
      </c>
      <c r="D31" s="39">
        <v>15.1</v>
      </c>
      <c r="E31" s="81">
        <f t="shared" si="0"/>
        <v>85.300000000000011</v>
      </c>
      <c r="F31" s="39">
        <v>7.3</v>
      </c>
      <c r="G31" s="39">
        <v>8.8000000000000007</v>
      </c>
      <c r="H31" s="39">
        <v>9.4</v>
      </c>
      <c r="I31" s="39">
        <f t="shared" si="1"/>
        <v>82.65</v>
      </c>
      <c r="J31" s="39">
        <f t="shared" si="2"/>
        <v>2064.9400000000005</v>
      </c>
    </row>
    <row r="32" spans="1:10" x14ac:dyDescent="0.3">
      <c r="A32" s="60" t="s">
        <v>73</v>
      </c>
      <c r="B32" s="39">
        <v>7.27</v>
      </c>
      <c r="C32" s="39">
        <v>8.75</v>
      </c>
      <c r="D32" s="39">
        <v>14.6</v>
      </c>
      <c r="E32" s="81">
        <f t="shared" si="0"/>
        <v>82.254999999999995</v>
      </c>
      <c r="F32" s="39">
        <v>0</v>
      </c>
      <c r="G32" s="39">
        <v>0</v>
      </c>
      <c r="H32" s="39">
        <v>0</v>
      </c>
      <c r="I32" s="39">
        <f t="shared" si="1"/>
        <v>0</v>
      </c>
      <c r="J32" s="39">
        <f t="shared" si="2"/>
        <v>1200.923</v>
      </c>
    </row>
    <row r="33" spans="1:10" x14ac:dyDescent="0.3">
      <c r="A33" s="60" t="s">
        <v>74</v>
      </c>
      <c r="B33" s="39">
        <v>7.41</v>
      </c>
      <c r="C33" s="39">
        <v>9.34</v>
      </c>
      <c r="D33" s="39">
        <v>13.1</v>
      </c>
      <c r="E33" s="81">
        <f t="shared" si="0"/>
        <v>85.525000000000006</v>
      </c>
      <c r="F33" s="39">
        <v>7.19</v>
      </c>
      <c r="G33" s="39">
        <v>8.8000000000000007</v>
      </c>
      <c r="H33" s="39">
        <v>8.6</v>
      </c>
      <c r="I33" s="39">
        <f t="shared" si="1"/>
        <v>81.935000000000002</v>
      </c>
      <c r="J33" s="39">
        <f t="shared" si="2"/>
        <v>1825.0185000000001</v>
      </c>
    </row>
    <row r="34" spans="1:10" x14ac:dyDescent="0.3">
      <c r="A34" s="60" t="s">
        <v>75</v>
      </c>
      <c r="B34" s="39">
        <v>7.67</v>
      </c>
      <c r="C34" s="39">
        <v>9.1999999999999993</v>
      </c>
      <c r="D34" s="39">
        <v>17.2</v>
      </c>
      <c r="E34" s="81">
        <f t="shared" si="0"/>
        <v>86.655000000000001</v>
      </c>
      <c r="F34" s="39">
        <v>6.49</v>
      </c>
      <c r="G34" s="39">
        <v>8.49</v>
      </c>
      <c r="H34" s="39">
        <v>14.7</v>
      </c>
      <c r="I34" s="39">
        <f t="shared" si="1"/>
        <v>76.14500000000001</v>
      </c>
      <c r="J34" s="39">
        <f t="shared" si="2"/>
        <v>2609.7974999999997</v>
      </c>
    </row>
    <row r="35" spans="1:10" x14ac:dyDescent="0.3">
      <c r="A35" s="60" t="s">
        <v>76</v>
      </c>
      <c r="B35" s="39">
        <v>7.44</v>
      </c>
      <c r="C35" s="39">
        <v>8.76</v>
      </c>
      <c r="D35" s="39">
        <v>17.95</v>
      </c>
      <c r="E35" s="81">
        <f t="shared" si="0"/>
        <v>83.4</v>
      </c>
      <c r="F35" s="39">
        <v>7.26</v>
      </c>
      <c r="G35" s="39">
        <v>8.58</v>
      </c>
      <c r="H35" s="39">
        <v>8.8000000000000007</v>
      </c>
      <c r="I35" s="39">
        <f t="shared" si="1"/>
        <v>81.509999999999991</v>
      </c>
      <c r="J35" s="39">
        <f t="shared" si="2"/>
        <v>2214.3180000000002</v>
      </c>
    </row>
    <row r="36" spans="1:10" s="78" customFormat="1" x14ac:dyDescent="0.3">
      <c r="A36" s="60" t="s">
        <v>77</v>
      </c>
      <c r="B36" s="29">
        <v>6.6</v>
      </c>
      <c r="C36" s="29">
        <v>8.6999999999999993</v>
      </c>
      <c r="D36" s="29">
        <v>15.2</v>
      </c>
      <c r="E36" s="81">
        <f t="shared" si="0"/>
        <v>77.699999999999989</v>
      </c>
      <c r="F36" s="29">
        <v>7</v>
      </c>
      <c r="G36" s="29">
        <v>8.5</v>
      </c>
      <c r="H36" s="29">
        <v>14.5</v>
      </c>
      <c r="I36" s="39">
        <f t="shared" si="1"/>
        <v>79.5</v>
      </c>
      <c r="J36" s="39">
        <f t="shared" si="2"/>
        <v>2333.79</v>
      </c>
    </row>
    <row r="37" spans="1:10" x14ac:dyDescent="0.3">
      <c r="A37" s="60" t="s">
        <v>77</v>
      </c>
      <c r="B37" s="39">
        <v>9</v>
      </c>
      <c r="C37" s="39">
        <v>9.6</v>
      </c>
      <c r="D37" s="39">
        <v>4</v>
      </c>
      <c r="E37" s="81">
        <f t="shared" si="0"/>
        <v>96.9</v>
      </c>
      <c r="F37" s="39"/>
      <c r="G37" s="39"/>
      <c r="H37" s="39"/>
      <c r="I37" s="39">
        <f t="shared" si="1"/>
        <v>0</v>
      </c>
      <c r="J37" s="39">
        <f t="shared" si="2"/>
        <v>387.6</v>
      </c>
    </row>
    <row r="38" spans="1:10" x14ac:dyDescent="0.3">
      <c r="A38" s="60" t="s">
        <v>78</v>
      </c>
      <c r="B38" s="101"/>
      <c r="C38" s="101"/>
      <c r="D38" s="101"/>
      <c r="E38" s="102">
        <f t="shared" ref="E38:E77" si="3">(B38*6.5+C38*4)</f>
        <v>0</v>
      </c>
      <c r="F38" s="39">
        <v>7</v>
      </c>
      <c r="G38" s="39">
        <v>8.5</v>
      </c>
      <c r="H38" s="39">
        <v>14.5</v>
      </c>
      <c r="I38" s="39">
        <f t="shared" si="1"/>
        <v>79.5</v>
      </c>
      <c r="J38" s="39">
        <f t="shared" si="2"/>
        <v>1152.75</v>
      </c>
    </row>
    <row r="39" spans="1:10" x14ac:dyDescent="0.3">
      <c r="A39" s="60" t="s">
        <v>79</v>
      </c>
      <c r="B39" s="39">
        <v>7.7</v>
      </c>
      <c r="C39" s="39">
        <v>9.3000000000000007</v>
      </c>
      <c r="D39" s="39">
        <v>17.3</v>
      </c>
      <c r="E39" s="81">
        <f t="shared" si="3"/>
        <v>87.25</v>
      </c>
      <c r="F39" s="39">
        <v>6.7</v>
      </c>
      <c r="G39" s="39">
        <v>8.5</v>
      </c>
      <c r="H39" s="39">
        <v>16</v>
      </c>
      <c r="I39" s="39">
        <f t="shared" si="1"/>
        <v>77.550000000000011</v>
      </c>
      <c r="J39" s="39">
        <f t="shared" si="2"/>
        <v>2750.2250000000004</v>
      </c>
    </row>
    <row r="40" spans="1:10" x14ac:dyDescent="0.3">
      <c r="A40" s="103" t="s">
        <v>80</v>
      </c>
      <c r="B40" s="104"/>
      <c r="C40" s="104"/>
      <c r="D40" s="104"/>
      <c r="E40" s="105">
        <f t="shared" si="3"/>
        <v>0</v>
      </c>
      <c r="F40" s="104"/>
      <c r="G40" s="104"/>
      <c r="H40" s="104"/>
      <c r="I40" s="104">
        <f t="shared" si="1"/>
        <v>0</v>
      </c>
      <c r="J40" s="104">
        <f t="shared" si="2"/>
        <v>0</v>
      </c>
    </row>
    <row r="41" spans="1:10" x14ac:dyDescent="0.3">
      <c r="A41" s="60" t="s">
        <v>81</v>
      </c>
      <c r="B41" s="39">
        <v>7.6</v>
      </c>
      <c r="C41" s="39">
        <v>9.9</v>
      </c>
      <c r="D41" s="39">
        <v>16.100000000000001</v>
      </c>
      <c r="E41" s="81">
        <f t="shared" si="3"/>
        <v>89</v>
      </c>
      <c r="F41" s="39">
        <v>6.7</v>
      </c>
      <c r="G41" s="39">
        <v>8.9</v>
      </c>
      <c r="H41" s="39">
        <v>13.8</v>
      </c>
      <c r="I41" s="39">
        <f t="shared" si="1"/>
        <v>79.150000000000006</v>
      </c>
      <c r="J41" s="39">
        <f t="shared" si="2"/>
        <v>2525.17</v>
      </c>
    </row>
    <row r="42" spans="1:10" x14ac:dyDescent="0.3">
      <c r="A42" s="60" t="s">
        <v>82</v>
      </c>
      <c r="B42" s="39">
        <v>7.9</v>
      </c>
      <c r="C42" s="39">
        <v>9.1999999999999993</v>
      </c>
      <c r="D42" s="39">
        <v>17.7</v>
      </c>
      <c r="E42" s="81">
        <f t="shared" si="3"/>
        <v>88.15</v>
      </c>
      <c r="F42" s="39">
        <v>7</v>
      </c>
      <c r="G42" s="39">
        <v>8.3000000000000007</v>
      </c>
      <c r="H42" s="39">
        <v>12.3</v>
      </c>
      <c r="I42" s="39">
        <f t="shared" si="1"/>
        <v>78.7</v>
      </c>
      <c r="J42" s="39">
        <f t="shared" si="2"/>
        <v>2528.2650000000003</v>
      </c>
    </row>
    <row r="43" spans="1:10" x14ac:dyDescent="0.3">
      <c r="A43" s="60" t="s">
        <v>83</v>
      </c>
      <c r="B43" s="39">
        <v>7</v>
      </c>
      <c r="C43" s="39">
        <v>8.8000000000000007</v>
      </c>
      <c r="D43" s="39">
        <v>17.100000000000001</v>
      </c>
      <c r="E43" s="81">
        <f t="shared" si="3"/>
        <v>80.7</v>
      </c>
      <c r="F43" s="39">
        <v>6.8</v>
      </c>
      <c r="G43" s="39">
        <v>6.8</v>
      </c>
      <c r="H43" s="39">
        <v>15.3</v>
      </c>
      <c r="I43" s="39">
        <f t="shared" si="1"/>
        <v>71.399999999999991</v>
      </c>
      <c r="J43" s="39">
        <f t="shared" si="2"/>
        <v>2472.3900000000003</v>
      </c>
    </row>
    <row r="44" spans="1:10" x14ac:dyDescent="0.3">
      <c r="A44" s="60" t="s">
        <v>84</v>
      </c>
      <c r="B44" s="39">
        <v>7.2</v>
      </c>
      <c r="C44" s="39">
        <v>8.9</v>
      </c>
      <c r="D44" s="39">
        <v>18.77</v>
      </c>
      <c r="E44" s="81">
        <f t="shared" si="3"/>
        <v>82.4</v>
      </c>
      <c r="F44" s="39">
        <v>6.9</v>
      </c>
      <c r="G44" s="39">
        <v>8.6</v>
      </c>
      <c r="H44" s="39">
        <v>14.7</v>
      </c>
      <c r="I44" s="39">
        <f t="shared" si="1"/>
        <v>79.25</v>
      </c>
      <c r="J44" s="39">
        <f t="shared" si="2"/>
        <v>2711.623</v>
      </c>
    </row>
    <row r="45" spans="1:10" x14ac:dyDescent="0.3">
      <c r="A45" s="60" t="s">
        <v>85</v>
      </c>
      <c r="B45" s="39">
        <v>7.1</v>
      </c>
      <c r="C45" s="39">
        <v>8.9</v>
      </c>
      <c r="D45" s="39">
        <v>19.399999999999999</v>
      </c>
      <c r="E45" s="81">
        <f t="shared" si="3"/>
        <v>81.75</v>
      </c>
      <c r="F45" s="39">
        <v>7.3</v>
      </c>
      <c r="G45" s="39">
        <v>9.1999999999999993</v>
      </c>
      <c r="H45" s="39">
        <v>15</v>
      </c>
      <c r="I45" s="39">
        <f t="shared" si="1"/>
        <v>84.25</v>
      </c>
      <c r="J45" s="39">
        <f t="shared" si="2"/>
        <v>2849.7</v>
      </c>
    </row>
    <row r="46" spans="1:10" x14ac:dyDescent="0.3">
      <c r="A46" s="60" t="s">
        <v>86</v>
      </c>
      <c r="B46" s="39">
        <v>7.2</v>
      </c>
      <c r="C46" s="39">
        <v>8.8000000000000007</v>
      </c>
      <c r="D46" s="39">
        <v>17.600000000000001</v>
      </c>
      <c r="E46" s="81">
        <f t="shared" si="3"/>
        <v>82</v>
      </c>
      <c r="F46" s="39">
        <v>7.4</v>
      </c>
      <c r="G46" s="39">
        <v>9.1999999999999993</v>
      </c>
      <c r="H46" s="39">
        <v>14.8</v>
      </c>
      <c r="I46" s="39">
        <f t="shared" si="1"/>
        <v>84.9</v>
      </c>
      <c r="J46" s="39">
        <f t="shared" si="2"/>
        <v>2699.7200000000003</v>
      </c>
    </row>
    <row r="47" spans="1:10" x14ac:dyDescent="0.3">
      <c r="A47" s="60" t="s">
        <v>87</v>
      </c>
      <c r="B47" s="39">
        <v>7.3</v>
      </c>
      <c r="C47" s="39">
        <v>8.6</v>
      </c>
      <c r="D47" s="39">
        <v>19.399999999999999</v>
      </c>
      <c r="E47" s="81">
        <f t="shared" si="3"/>
        <v>81.849999999999994</v>
      </c>
      <c r="F47" s="39">
        <v>6.9</v>
      </c>
      <c r="G47" s="39">
        <v>8.6</v>
      </c>
      <c r="H47" s="39">
        <v>16.14</v>
      </c>
      <c r="I47" s="39">
        <f t="shared" si="1"/>
        <v>79.25</v>
      </c>
      <c r="J47" s="39">
        <f t="shared" si="2"/>
        <v>2866.9849999999997</v>
      </c>
    </row>
    <row r="48" spans="1:10" x14ac:dyDescent="0.3">
      <c r="A48" s="60" t="s">
        <v>88</v>
      </c>
      <c r="B48" s="39">
        <v>7.1</v>
      </c>
      <c r="C48" s="39">
        <v>8.8000000000000007</v>
      </c>
      <c r="D48" s="39">
        <v>19.399999999999999</v>
      </c>
      <c r="E48" s="81">
        <f t="shared" si="3"/>
        <v>81.349999999999994</v>
      </c>
      <c r="F48" s="39">
        <v>7</v>
      </c>
      <c r="G48" s="39">
        <v>8.6999999999999993</v>
      </c>
      <c r="H48" s="39">
        <v>16.100000000000001</v>
      </c>
      <c r="I48" s="39">
        <f t="shared" si="1"/>
        <v>80.3</v>
      </c>
      <c r="J48" s="39">
        <f t="shared" si="2"/>
        <v>2871.02</v>
      </c>
    </row>
    <row r="49" spans="1:10" x14ac:dyDescent="0.3">
      <c r="A49" s="60" t="s">
        <v>89</v>
      </c>
      <c r="B49" s="39">
        <v>7.1</v>
      </c>
      <c r="C49" s="39">
        <v>8.8000000000000007</v>
      </c>
      <c r="D49" s="39">
        <v>20.5</v>
      </c>
      <c r="E49" s="81">
        <f t="shared" si="3"/>
        <v>81.349999999999994</v>
      </c>
      <c r="F49" s="39">
        <v>6.8</v>
      </c>
      <c r="G49" s="39">
        <v>8.5</v>
      </c>
      <c r="H49" s="39">
        <v>13.6</v>
      </c>
      <c r="I49" s="39">
        <f t="shared" si="1"/>
        <v>78.199999999999989</v>
      </c>
      <c r="J49" s="39">
        <f t="shared" si="2"/>
        <v>2731.1949999999997</v>
      </c>
    </row>
    <row r="50" spans="1:10" x14ac:dyDescent="0.3">
      <c r="A50" s="60" t="s">
        <v>90</v>
      </c>
      <c r="B50" s="39">
        <v>6.9</v>
      </c>
      <c r="C50" s="39">
        <v>8.6</v>
      </c>
      <c r="D50" s="39">
        <v>18.5</v>
      </c>
      <c r="E50" s="81">
        <f t="shared" si="3"/>
        <v>79.25</v>
      </c>
      <c r="F50" s="39">
        <v>7.1</v>
      </c>
      <c r="G50" s="39">
        <v>8.4</v>
      </c>
      <c r="H50" s="39">
        <v>15.6</v>
      </c>
      <c r="I50" s="39">
        <f t="shared" si="1"/>
        <v>79.75</v>
      </c>
      <c r="J50" s="39">
        <f t="shared" si="2"/>
        <v>2710.2249999999999</v>
      </c>
    </row>
    <row r="51" spans="1:10" x14ac:dyDescent="0.3">
      <c r="A51" s="60" t="s">
        <v>91</v>
      </c>
      <c r="B51" s="39">
        <v>7.3</v>
      </c>
      <c r="C51" s="39">
        <v>8.6999999999999993</v>
      </c>
      <c r="D51" s="39">
        <v>19.899999999999999</v>
      </c>
      <c r="E51" s="81">
        <f t="shared" si="3"/>
        <v>82.25</v>
      </c>
      <c r="F51" s="39">
        <v>7.6</v>
      </c>
      <c r="G51" s="39">
        <v>8.4</v>
      </c>
      <c r="H51" s="39">
        <v>14.8</v>
      </c>
      <c r="I51" s="39">
        <f t="shared" si="1"/>
        <v>83</v>
      </c>
      <c r="J51" s="39">
        <f t="shared" si="2"/>
        <v>2865.1750000000002</v>
      </c>
    </row>
    <row r="52" spans="1:10" x14ac:dyDescent="0.3">
      <c r="A52" s="60" t="s">
        <v>92</v>
      </c>
      <c r="B52" s="39">
        <v>7.2</v>
      </c>
      <c r="C52" s="39">
        <v>8.6</v>
      </c>
      <c r="D52" s="39">
        <v>20.3</v>
      </c>
      <c r="E52" s="81">
        <f t="shared" si="3"/>
        <v>81.2</v>
      </c>
      <c r="F52" s="39">
        <v>7.5</v>
      </c>
      <c r="G52" s="39">
        <v>8.3000000000000007</v>
      </c>
      <c r="H52" s="39">
        <v>15.1</v>
      </c>
      <c r="I52" s="39">
        <f t="shared" si="1"/>
        <v>81.95</v>
      </c>
      <c r="J52" s="39">
        <f t="shared" si="2"/>
        <v>2885.8050000000003</v>
      </c>
    </row>
    <row r="53" spans="1:10" x14ac:dyDescent="0.3">
      <c r="A53" s="60" t="s">
        <v>93</v>
      </c>
      <c r="B53" s="39">
        <v>7.7</v>
      </c>
      <c r="C53" s="39">
        <v>8.6999999999999993</v>
      </c>
      <c r="D53" s="39">
        <v>14.7</v>
      </c>
      <c r="E53" s="81">
        <f t="shared" si="3"/>
        <v>84.85</v>
      </c>
      <c r="F53" s="39">
        <v>7.7</v>
      </c>
      <c r="G53" s="39">
        <v>8.5</v>
      </c>
      <c r="H53" s="39">
        <v>15.7</v>
      </c>
      <c r="I53" s="39">
        <f t="shared" si="1"/>
        <v>84.050000000000011</v>
      </c>
      <c r="J53" s="39">
        <f t="shared" si="2"/>
        <v>2566.88</v>
      </c>
    </row>
    <row r="54" spans="1:10" x14ac:dyDescent="0.3">
      <c r="A54" s="60" t="s">
        <v>157</v>
      </c>
      <c r="B54" s="39">
        <v>7.8</v>
      </c>
      <c r="C54" s="39">
        <v>9.1</v>
      </c>
      <c r="D54" s="39">
        <v>20.3</v>
      </c>
      <c r="E54" s="81">
        <f t="shared" si="3"/>
        <v>87.1</v>
      </c>
      <c r="F54" s="39">
        <v>8.4</v>
      </c>
      <c r="G54" s="39">
        <v>9.1</v>
      </c>
      <c r="H54" s="39">
        <v>12</v>
      </c>
      <c r="I54" s="39">
        <f t="shared" si="1"/>
        <v>91</v>
      </c>
      <c r="J54" s="39">
        <f t="shared" si="2"/>
        <v>2860.13</v>
      </c>
    </row>
    <row r="55" spans="1:10" x14ac:dyDescent="0.3">
      <c r="A55" s="60" t="s">
        <v>158</v>
      </c>
      <c r="B55" s="39">
        <v>7.9</v>
      </c>
      <c r="C55" s="39">
        <v>9.3000000000000007</v>
      </c>
      <c r="D55" s="39">
        <v>21.7</v>
      </c>
      <c r="E55" s="81">
        <f t="shared" si="3"/>
        <v>88.550000000000011</v>
      </c>
      <c r="F55" s="39">
        <v>8.1999999999999993</v>
      </c>
      <c r="G55" s="39">
        <v>8.9</v>
      </c>
      <c r="H55" s="39">
        <v>11.5</v>
      </c>
      <c r="I55" s="39">
        <f t="shared" si="1"/>
        <v>88.9</v>
      </c>
      <c r="J55" s="39">
        <f t="shared" si="2"/>
        <v>2943.8850000000002</v>
      </c>
    </row>
    <row r="56" spans="1:10" x14ac:dyDescent="0.3">
      <c r="A56" s="60" t="s">
        <v>159</v>
      </c>
      <c r="B56" s="39">
        <v>7.1</v>
      </c>
      <c r="C56" s="39">
        <v>9.3000000000000007</v>
      </c>
      <c r="D56" s="39">
        <v>19.5</v>
      </c>
      <c r="E56" s="81">
        <f t="shared" si="3"/>
        <v>83.35</v>
      </c>
      <c r="F56" s="39">
        <v>7.5</v>
      </c>
      <c r="G56" s="39">
        <v>7</v>
      </c>
      <c r="H56" s="39">
        <v>14.8</v>
      </c>
      <c r="I56" s="39">
        <f t="shared" si="1"/>
        <v>76.75</v>
      </c>
      <c r="J56" s="39">
        <f t="shared" si="2"/>
        <v>2761.2249999999999</v>
      </c>
    </row>
    <row r="57" spans="1:10" x14ac:dyDescent="0.3">
      <c r="A57" s="60" t="s">
        <v>160</v>
      </c>
      <c r="B57" s="39">
        <v>8.1999999999999993</v>
      </c>
      <c r="C57" s="39">
        <v>9.3000000000000007</v>
      </c>
      <c r="D57" s="39">
        <v>18.7</v>
      </c>
      <c r="E57" s="81">
        <f t="shared" si="3"/>
        <v>90.5</v>
      </c>
      <c r="F57" s="39">
        <v>7.7</v>
      </c>
      <c r="G57" s="39">
        <v>8.6</v>
      </c>
      <c r="H57" s="39">
        <v>15.6</v>
      </c>
      <c r="I57" s="39">
        <f t="shared" si="1"/>
        <v>84.45</v>
      </c>
      <c r="J57" s="39">
        <f t="shared" si="2"/>
        <v>3009.77</v>
      </c>
    </row>
    <row r="58" spans="1:10" x14ac:dyDescent="0.3">
      <c r="A58" s="60" t="s">
        <v>161</v>
      </c>
      <c r="B58" s="39">
        <v>8</v>
      </c>
      <c r="C58" s="39">
        <v>9</v>
      </c>
      <c r="D58" s="39">
        <v>20.2</v>
      </c>
      <c r="E58" s="81">
        <f t="shared" si="3"/>
        <v>88</v>
      </c>
      <c r="F58" s="39">
        <v>8.1</v>
      </c>
      <c r="G58" s="39">
        <v>8.6</v>
      </c>
      <c r="H58" s="39">
        <v>15.2</v>
      </c>
      <c r="I58" s="39">
        <f t="shared" si="1"/>
        <v>87.05</v>
      </c>
      <c r="J58" s="39">
        <f t="shared" si="2"/>
        <v>3100.7599999999998</v>
      </c>
    </row>
    <row r="59" spans="1:10" x14ac:dyDescent="0.3">
      <c r="A59" s="60" t="s">
        <v>162</v>
      </c>
      <c r="B59" s="39">
        <v>7.8</v>
      </c>
      <c r="C59" s="39">
        <v>8.9</v>
      </c>
      <c r="D59" s="39">
        <v>19.5</v>
      </c>
      <c r="E59" s="81">
        <f t="shared" si="3"/>
        <v>86.3</v>
      </c>
      <c r="F59" s="39">
        <v>8</v>
      </c>
      <c r="G59" s="39">
        <v>7.6</v>
      </c>
      <c r="H59" s="39">
        <v>14.4</v>
      </c>
      <c r="I59" s="39">
        <f t="shared" si="1"/>
        <v>82.4</v>
      </c>
      <c r="J59" s="39">
        <f t="shared" si="2"/>
        <v>2869.41</v>
      </c>
    </row>
    <row r="60" spans="1:10" x14ac:dyDescent="0.3">
      <c r="A60" s="60" t="s">
        <v>163</v>
      </c>
      <c r="B60" s="39"/>
      <c r="C60" s="39"/>
      <c r="D60" s="39"/>
      <c r="E60" s="81">
        <f t="shared" si="3"/>
        <v>0</v>
      </c>
      <c r="F60" s="39"/>
      <c r="G60" s="39"/>
      <c r="H60" s="39"/>
      <c r="I60" s="39">
        <f t="shared" si="1"/>
        <v>0</v>
      </c>
      <c r="J60" s="39">
        <f t="shared" si="2"/>
        <v>0</v>
      </c>
    </row>
    <row r="61" spans="1:10" x14ac:dyDescent="0.3">
      <c r="A61" s="60" t="s">
        <v>164</v>
      </c>
      <c r="B61" s="39"/>
      <c r="C61" s="39"/>
      <c r="D61" s="39"/>
      <c r="E61" s="81">
        <f t="shared" si="3"/>
        <v>0</v>
      </c>
      <c r="F61" s="39"/>
      <c r="G61" s="39"/>
      <c r="H61" s="39"/>
      <c r="I61" s="39">
        <f t="shared" si="1"/>
        <v>0</v>
      </c>
      <c r="J61" s="39">
        <f t="shared" si="2"/>
        <v>0</v>
      </c>
    </row>
    <row r="62" spans="1:10" x14ac:dyDescent="0.3">
      <c r="A62" s="60" t="s">
        <v>165</v>
      </c>
      <c r="B62" s="39"/>
      <c r="C62" s="39"/>
      <c r="D62" s="39"/>
      <c r="E62" s="81">
        <f t="shared" si="3"/>
        <v>0</v>
      </c>
      <c r="F62" s="39"/>
      <c r="G62" s="39"/>
      <c r="H62" s="39"/>
      <c r="I62" s="39">
        <f t="shared" si="1"/>
        <v>0</v>
      </c>
      <c r="J62" s="39">
        <f t="shared" si="2"/>
        <v>0</v>
      </c>
    </row>
    <row r="63" spans="1:10" x14ac:dyDescent="0.3">
      <c r="A63" s="60" t="s">
        <v>166</v>
      </c>
      <c r="B63" s="39"/>
      <c r="C63" s="39"/>
      <c r="D63" s="39"/>
      <c r="E63" s="81">
        <f t="shared" si="3"/>
        <v>0</v>
      </c>
      <c r="F63" s="39"/>
      <c r="G63" s="39"/>
      <c r="H63" s="39"/>
      <c r="I63" s="39">
        <f t="shared" si="1"/>
        <v>0</v>
      </c>
      <c r="J63" s="39">
        <f t="shared" si="2"/>
        <v>0</v>
      </c>
    </row>
    <row r="64" spans="1:10" x14ac:dyDescent="0.3">
      <c r="A64" s="60" t="s">
        <v>167</v>
      </c>
      <c r="B64" s="39"/>
      <c r="C64" s="39"/>
      <c r="D64" s="39"/>
      <c r="E64" s="81">
        <f t="shared" si="3"/>
        <v>0</v>
      </c>
      <c r="F64" s="39"/>
      <c r="G64" s="39"/>
      <c r="H64" s="39"/>
      <c r="I64" s="39">
        <f t="shared" si="1"/>
        <v>0</v>
      </c>
      <c r="J64" s="39">
        <f t="shared" si="2"/>
        <v>0</v>
      </c>
    </row>
    <row r="65" spans="1:10" x14ac:dyDescent="0.3">
      <c r="A65" s="60" t="s">
        <v>168</v>
      </c>
      <c r="B65" s="39"/>
      <c r="C65" s="39"/>
      <c r="D65" s="39"/>
      <c r="E65" s="81">
        <f t="shared" si="3"/>
        <v>0</v>
      </c>
      <c r="F65" s="39"/>
      <c r="G65" s="39"/>
      <c r="H65" s="39"/>
      <c r="I65" s="39">
        <f t="shared" si="1"/>
        <v>0</v>
      </c>
      <c r="J65" s="39">
        <f t="shared" si="2"/>
        <v>0</v>
      </c>
    </row>
    <row r="66" spans="1:10" x14ac:dyDescent="0.3">
      <c r="A66" s="60" t="s">
        <v>169</v>
      </c>
      <c r="B66" s="39"/>
      <c r="C66" s="39"/>
      <c r="D66" s="39"/>
      <c r="E66" s="81">
        <f t="shared" si="3"/>
        <v>0</v>
      </c>
      <c r="F66" s="39"/>
      <c r="G66" s="39"/>
      <c r="H66" s="39"/>
      <c r="I66" s="39">
        <f t="shared" si="1"/>
        <v>0</v>
      </c>
      <c r="J66" s="39">
        <f t="shared" si="2"/>
        <v>0</v>
      </c>
    </row>
    <row r="67" spans="1:10" x14ac:dyDescent="0.3">
      <c r="A67" s="39"/>
      <c r="B67" s="39"/>
      <c r="C67" s="39"/>
      <c r="D67" s="39"/>
      <c r="E67" s="81">
        <f t="shared" si="3"/>
        <v>0</v>
      </c>
      <c r="F67" s="39"/>
      <c r="G67" s="39"/>
      <c r="H67" s="39"/>
      <c r="I67" s="39">
        <f t="shared" si="1"/>
        <v>0</v>
      </c>
      <c r="J67" s="39">
        <f t="shared" si="2"/>
        <v>0</v>
      </c>
    </row>
    <row r="68" spans="1:10" x14ac:dyDescent="0.3">
      <c r="A68" s="39"/>
      <c r="B68" s="39"/>
      <c r="C68" s="39"/>
      <c r="D68" s="39"/>
      <c r="E68" s="81">
        <f t="shared" si="3"/>
        <v>0</v>
      </c>
      <c r="F68" s="39"/>
      <c r="G68" s="39"/>
      <c r="H68" s="39"/>
      <c r="I68" s="39">
        <f t="shared" si="1"/>
        <v>0</v>
      </c>
      <c r="J68" s="39">
        <f t="shared" si="2"/>
        <v>0</v>
      </c>
    </row>
    <row r="69" spans="1:10" x14ac:dyDescent="0.3">
      <c r="A69" s="39"/>
      <c r="B69" s="39"/>
      <c r="C69" s="39"/>
      <c r="D69" s="39"/>
      <c r="E69" s="81">
        <f t="shared" si="3"/>
        <v>0</v>
      </c>
      <c r="F69" s="39"/>
      <c r="G69" s="39"/>
      <c r="H69" s="39"/>
      <c r="I69" s="39">
        <f t="shared" si="1"/>
        <v>0</v>
      </c>
      <c r="J69" s="39">
        <f t="shared" si="2"/>
        <v>0</v>
      </c>
    </row>
    <row r="70" spans="1:10" x14ac:dyDescent="0.3">
      <c r="A70" s="39"/>
      <c r="B70" s="39"/>
      <c r="C70" s="39"/>
      <c r="D70" s="39"/>
      <c r="E70" s="81">
        <f t="shared" si="3"/>
        <v>0</v>
      </c>
      <c r="F70" s="39"/>
      <c r="G70" s="39"/>
      <c r="H70" s="39"/>
      <c r="I70" s="39">
        <f t="shared" si="1"/>
        <v>0</v>
      </c>
      <c r="J70" s="39">
        <f t="shared" si="2"/>
        <v>0</v>
      </c>
    </row>
    <row r="71" spans="1:10" x14ac:dyDescent="0.3">
      <c r="A71" s="39"/>
      <c r="B71" s="39"/>
      <c r="C71" s="39"/>
      <c r="D71" s="39"/>
      <c r="E71" s="81">
        <f t="shared" si="3"/>
        <v>0</v>
      </c>
      <c r="F71" s="39"/>
      <c r="G71" s="39"/>
      <c r="H71" s="39"/>
      <c r="I71" s="39">
        <f t="shared" si="1"/>
        <v>0</v>
      </c>
      <c r="J71" s="39">
        <f t="shared" si="2"/>
        <v>0</v>
      </c>
    </row>
    <row r="72" spans="1:10" x14ac:dyDescent="0.3">
      <c r="A72" s="39"/>
      <c r="B72" s="39"/>
      <c r="C72" s="39"/>
      <c r="D72" s="39"/>
      <c r="E72" s="81">
        <f t="shared" si="3"/>
        <v>0</v>
      </c>
      <c r="F72" s="39"/>
      <c r="G72" s="39"/>
      <c r="H72" s="39"/>
      <c r="I72" s="39">
        <f t="shared" si="1"/>
        <v>0</v>
      </c>
      <c r="J72" s="39">
        <f t="shared" si="2"/>
        <v>0</v>
      </c>
    </row>
    <row r="73" spans="1:10" x14ac:dyDescent="0.3">
      <c r="A73" s="39"/>
      <c r="B73" s="39"/>
      <c r="C73" s="39"/>
      <c r="D73" s="39"/>
      <c r="E73" s="81">
        <f t="shared" si="3"/>
        <v>0</v>
      </c>
      <c r="F73" s="39"/>
      <c r="G73" s="39"/>
      <c r="H73" s="39"/>
      <c r="I73" s="39">
        <f t="shared" si="1"/>
        <v>0</v>
      </c>
      <c r="J73" s="39">
        <f t="shared" si="2"/>
        <v>0</v>
      </c>
    </row>
    <row r="74" spans="1:10" x14ac:dyDescent="0.3">
      <c r="A74" s="39"/>
      <c r="B74" s="39"/>
      <c r="C74" s="39"/>
      <c r="D74" s="39"/>
      <c r="E74" s="81">
        <f t="shared" si="3"/>
        <v>0</v>
      </c>
      <c r="F74" s="39"/>
      <c r="G74" s="39"/>
      <c r="H74" s="39"/>
      <c r="I74" s="39">
        <f t="shared" ref="I74:I81" si="4">(F74*6.5+G74*4)</f>
        <v>0</v>
      </c>
      <c r="J74" s="39">
        <f t="shared" ref="J74:J77" si="5">(E74*D74+H74*I74)</f>
        <v>0</v>
      </c>
    </row>
    <row r="75" spans="1:10" x14ac:dyDescent="0.3">
      <c r="A75" s="39"/>
      <c r="B75" s="39"/>
      <c r="C75" s="39"/>
      <c r="D75" s="39"/>
      <c r="E75" s="81">
        <f t="shared" si="3"/>
        <v>0</v>
      </c>
      <c r="F75" s="39"/>
      <c r="G75" s="39"/>
      <c r="H75" s="39"/>
      <c r="I75" s="39">
        <f t="shared" si="4"/>
        <v>0</v>
      </c>
      <c r="J75" s="39">
        <f t="shared" si="5"/>
        <v>0</v>
      </c>
    </row>
    <row r="76" spans="1:10" x14ac:dyDescent="0.3">
      <c r="A76" s="39"/>
      <c r="B76" s="39"/>
      <c r="C76" s="39"/>
      <c r="D76" s="39"/>
      <c r="E76" s="81">
        <f t="shared" si="3"/>
        <v>0</v>
      </c>
      <c r="F76" s="39"/>
      <c r="G76" s="39"/>
      <c r="H76" s="39"/>
      <c r="I76" s="75">
        <f t="shared" si="4"/>
        <v>0</v>
      </c>
      <c r="J76" s="39">
        <f t="shared" si="5"/>
        <v>0</v>
      </c>
    </row>
    <row r="77" spans="1:10" x14ac:dyDescent="0.3">
      <c r="A77" s="39"/>
      <c r="B77" s="39"/>
      <c r="C77" s="39"/>
      <c r="D77" s="39"/>
      <c r="E77" s="81">
        <f t="shared" si="3"/>
        <v>0</v>
      </c>
      <c r="F77" s="39"/>
      <c r="G77" s="39"/>
      <c r="H77" s="73"/>
      <c r="I77" s="26">
        <f t="shared" si="4"/>
        <v>0</v>
      </c>
      <c r="J77" s="39">
        <f t="shared" si="5"/>
        <v>0</v>
      </c>
    </row>
    <row r="78" spans="1:10" x14ac:dyDescent="0.3">
      <c r="I78" s="22"/>
    </row>
    <row r="79" spans="1:10" x14ac:dyDescent="0.3">
      <c r="I79" s="22"/>
    </row>
    <row r="80" spans="1:10" x14ac:dyDescent="0.3">
      <c r="I80" s="22"/>
    </row>
    <row r="81" spans="9:9" x14ac:dyDescent="0.3">
      <c r="I81" s="22"/>
    </row>
    <row r="82" spans="9:9" x14ac:dyDescent="0.3">
      <c r="I82" s="22"/>
    </row>
  </sheetData>
  <mergeCells count="3">
    <mergeCell ref="A8:D8"/>
    <mergeCell ref="F8:I8"/>
    <mergeCell ref="B4:I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82"/>
  <sheetViews>
    <sheetView zoomScale="115" zoomScaleNormal="115" workbookViewId="0">
      <selection activeCell="B11" sqref="B11"/>
    </sheetView>
  </sheetViews>
  <sheetFormatPr defaultColWidth="8.77734375" defaultRowHeight="14.4" x14ac:dyDescent="0.3"/>
  <cols>
    <col min="1" max="1" width="11.21875" style="78" customWidth="1"/>
    <col min="2" max="4" width="5" style="78" bestFit="1" customWidth="1"/>
    <col min="5" max="5" width="9.33203125" style="78" customWidth="1"/>
    <col min="6" max="6" width="5" style="78" customWidth="1"/>
    <col min="7" max="8" width="5" style="78" bestFit="1" customWidth="1"/>
    <col min="9" max="9" width="7.88671875" style="78" bestFit="1" customWidth="1"/>
    <col min="10" max="10" width="10" style="78" bestFit="1" customWidth="1"/>
    <col min="11" max="16384" width="8.77734375" style="78"/>
  </cols>
  <sheetData>
    <row r="4" spans="1:10" x14ac:dyDescent="0.3">
      <c r="B4" s="94" t="s">
        <v>42</v>
      </c>
      <c r="C4" s="94"/>
      <c r="D4" s="94"/>
      <c r="E4" s="94"/>
      <c r="F4" s="94"/>
      <c r="G4" s="94"/>
      <c r="H4" s="94"/>
      <c r="I4" s="94"/>
    </row>
    <row r="8" spans="1:10" ht="21" x14ac:dyDescent="0.4">
      <c r="A8" s="89" t="s">
        <v>5</v>
      </c>
      <c r="B8" s="90"/>
      <c r="C8" s="90"/>
      <c r="D8" s="90"/>
      <c r="E8" s="79"/>
      <c r="F8" s="89" t="s">
        <v>10</v>
      </c>
      <c r="G8" s="90"/>
      <c r="H8" s="90"/>
      <c r="I8" s="91"/>
      <c r="J8" s="44"/>
    </row>
    <row r="9" spans="1:10" x14ac:dyDescent="0.3">
      <c r="A9" s="48" t="s">
        <v>47</v>
      </c>
      <c r="B9" s="48" t="s">
        <v>7</v>
      </c>
      <c r="C9" s="48" t="s">
        <v>8</v>
      </c>
      <c r="D9" s="48" t="s">
        <v>48</v>
      </c>
      <c r="E9" s="80" t="s">
        <v>49</v>
      </c>
      <c r="F9" s="48" t="s">
        <v>7</v>
      </c>
      <c r="G9" s="48" t="s">
        <v>8</v>
      </c>
      <c r="H9" s="48" t="s">
        <v>48</v>
      </c>
      <c r="I9" s="48" t="s">
        <v>49</v>
      </c>
      <c r="J9" s="48" t="s">
        <v>9</v>
      </c>
    </row>
    <row r="10" spans="1:10" x14ac:dyDescent="0.3">
      <c r="A10" s="53" t="s">
        <v>55</v>
      </c>
      <c r="B10" s="54"/>
      <c r="C10" s="54"/>
      <c r="D10" s="54"/>
      <c r="E10" s="81"/>
      <c r="F10" s="55"/>
      <c r="G10" s="55"/>
      <c r="H10" s="55"/>
      <c r="I10" s="55"/>
      <c r="J10" s="39"/>
    </row>
    <row r="11" spans="1:10" x14ac:dyDescent="0.3">
      <c r="A11" s="53" t="s">
        <v>56</v>
      </c>
      <c r="B11" s="55"/>
      <c r="C11" s="55"/>
      <c r="D11" s="55"/>
      <c r="E11" s="81"/>
      <c r="F11" s="39"/>
      <c r="G11" s="39"/>
      <c r="H11" s="39"/>
      <c r="I11" s="55"/>
      <c r="J11" s="39"/>
    </row>
    <row r="12" spans="1:10" x14ac:dyDescent="0.3">
      <c r="A12" s="53" t="s">
        <v>56</v>
      </c>
      <c r="B12" s="55"/>
      <c r="C12" s="55"/>
      <c r="D12" s="55"/>
      <c r="E12" s="81"/>
      <c r="F12" s="39"/>
      <c r="G12" s="39"/>
      <c r="H12" s="39"/>
      <c r="I12" s="55"/>
      <c r="J12" s="39"/>
    </row>
    <row r="13" spans="1:10" x14ac:dyDescent="0.3">
      <c r="A13" s="53" t="s">
        <v>57</v>
      </c>
      <c r="B13" s="55"/>
      <c r="C13" s="55"/>
      <c r="D13" s="55"/>
      <c r="E13" s="81"/>
      <c r="F13" s="39"/>
      <c r="G13" s="39"/>
      <c r="H13" s="39"/>
      <c r="I13" s="55"/>
      <c r="J13" s="39"/>
    </row>
    <row r="14" spans="1:10" x14ac:dyDescent="0.3">
      <c r="A14" s="60" t="s">
        <v>57</v>
      </c>
      <c r="B14" s="26"/>
      <c r="C14" s="26"/>
      <c r="D14" s="26"/>
      <c r="E14" s="81"/>
      <c r="F14" s="26"/>
      <c r="G14" s="26"/>
      <c r="H14" s="26"/>
      <c r="I14" s="55"/>
      <c r="J14" s="39"/>
    </row>
    <row r="15" spans="1:10" x14ac:dyDescent="0.3">
      <c r="A15" s="60" t="s">
        <v>58</v>
      </c>
      <c r="B15" s="26"/>
      <c r="C15" s="26"/>
      <c r="D15" s="26"/>
      <c r="E15" s="81"/>
      <c r="F15" s="39"/>
      <c r="G15" s="39"/>
      <c r="H15" s="39"/>
      <c r="I15" s="55"/>
      <c r="J15" s="39"/>
    </row>
    <row r="16" spans="1:10" x14ac:dyDescent="0.3">
      <c r="A16" s="60" t="s">
        <v>58</v>
      </c>
      <c r="B16" s="26"/>
      <c r="C16" s="26"/>
      <c r="D16" s="26"/>
      <c r="E16" s="81"/>
      <c r="F16" s="39"/>
      <c r="G16" s="39"/>
      <c r="H16" s="39"/>
      <c r="I16" s="55"/>
      <c r="J16" s="39"/>
    </row>
    <row r="17" spans="1:10" x14ac:dyDescent="0.3">
      <c r="A17" s="60" t="s">
        <v>59</v>
      </c>
      <c r="B17" s="26"/>
      <c r="C17" s="26"/>
      <c r="D17" s="26"/>
      <c r="E17" s="81"/>
      <c r="F17" s="39"/>
      <c r="G17" s="39"/>
      <c r="H17" s="39"/>
      <c r="I17" s="55"/>
      <c r="J17" s="39"/>
    </row>
    <row r="18" spans="1:10" x14ac:dyDescent="0.3">
      <c r="A18" s="60" t="s">
        <v>59</v>
      </c>
      <c r="B18" s="61"/>
      <c r="C18" s="61"/>
      <c r="D18" s="61"/>
      <c r="E18" s="81"/>
      <c r="F18" s="39"/>
      <c r="G18" s="39"/>
      <c r="H18" s="39"/>
      <c r="I18" s="55"/>
      <c r="J18" s="39"/>
    </row>
    <row r="19" spans="1:10" x14ac:dyDescent="0.3">
      <c r="A19" s="60" t="s">
        <v>60</v>
      </c>
      <c r="B19" s="26"/>
      <c r="C19" s="26"/>
      <c r="D19" s="26"/>
      <c r="E19" s="81"/>
      <c r="F19" s="39"/>
      <c r="G19" s="39"/>
      <c r="H19" s="39"/>
      <c r="I19" s="55"/>
      <c r="J19" s="39"/>
    </row>
    <row r="20" spans="1:10" x14ac:dyDescent="0.3">
      <c r="A20" s="60" t="s">
        <v>60</v>
      </c>
      <c r="B20" s="26"/>
      <c r="C20" s="26"/>
      <c r="D20" s="26"/>
      <c r="E20" s="81"/>
      <c r="F20" s="39"/>
      <c r="G20" s="39"/>
      <c r="H20" s="39"/>
      <c r="I20" s="55"/>
      <c r="J20" s="39"/>
    </row>
    <row r="21" spans="1:10" x14ac:dyDescent="0.3">
      <c r="A21" s="60" t="s">
        <v>61</v>
      </c>
      <c r="B21" s="26"/>
      <c r="C21" s="26"/>
      <c r="D21" s="26"/>
      <c r="E21" s="81"/>
      <c r="F21" s="39"/>
      <c r="G21" s="39"/>
      <c r="H21" s="39"/>
      <c r="I21" s="55"/>
      <c r="J21" s="39"/>
    </row>
    <row r="22" spans="1:10" x14ac:dyDescent="0.3">
      <c r="A22" s="60" t="s">
        <v>62</v>
      </c>
      <c r="B22" s="26"/>
      <c r="C22" s="26"/>
      <c r="D22" s="26"/>
      <c r="E22" s="81"/>
      <c r="F22" s="39"/>
      <c r="G22" s="39"/>
      <c r="H22" s="39"/>
      <c r="I22" s="55"/>
      <c r="J22" s="39"/>
    </row>
    <row r="23" spans="1:10" x14ac:dyDescent="0.3">
      <c r="A23" s="62" t="s">
        <v>63</v>
      </c>
      <c r="B23" s="63"/>
      <c r="C23" s="63"/>
      <c r="D23" s="63"/>
      <c r="E23" s="107"/>
      <c r="F23" s="64"/>
      <c r="G23" s="64"/>
      <c r="H23" s="64"/>
      <c r="I23" s="108"/>
      <c r="J23" s="64"/>
    </row>
    <row r="24" spans="1:10" x14ac:dyDescent="0.3">
      <c r="A24" s="60" t="s">
        <v>64</v>
      </c>
      <c r="B24" s="26"/>
      <c r="C24" s="26"/>
      <c r="D24" s="26"/>
      <c r="E24" s="81"/>
      <c r="F24" s="39"/>
      <c r="G24" s="39"/>
      <c r="H24" s="39"/>
      <c r="I24" s="55"/>
      <c r="J24" s="39"/>
    </row>
    <row r="25" spans="1:10" x14ac:dyDescent="0.3">
      <c r="A25" s="60" t="s">
        <v>65</v>
      </c>
      <c r="B25" s="26"/>
      <c r="C25" s="26"/>
      <c r="D25" s="26"/>
      <c r="E25" s="81"/>
      <c r="F25" s="39"/>
      <c r="G25" s="39"/>
      <c r="H25" s="39"/>
      <c r="I25" s="55"/>
      <c r="J25" s="39"/>
    </row>
    <row r="26" spans="1:10" x14ac:dyDescent="0.3">
      <c r="A26" s="60" t="s">
        <v>66</v>
      </c>
      <c r="B26" s="26"/>
      <c r="C26" s="26"/>
      <c r="D26" s="26"/>
      <c r="E26" s="81"/>
      <c r="F26" s="39"/>
      <c r="G26" s="39"/>
      <c r="H26" s="39"/>
      <c r="I26" s="55"/>
      <c r="J26" s="39"/>
    </row>
    <row r="27" spans="1:10" x14ac:dyDescent="0.3">
      <c r="A27" s="60" t="s">
        <v>67</v>
      </c>
      <c r="B27" s="39"/>
      <c r="C27" s="39"/>
      <c r="D27" s="39"/>
      <c r="E27" s="81"/>
      <c r="F27" s="39"/>
      <c r="G27" s="39"/>
      <c r="H27" s="39"/>
      <c r="I27" s="55"/>
      <c r="J27" s="39"/>
    </row>
    <row r="28" spans="1:10" x14ac:dyDescent="0.3">
      <c r="A28" s="60" t="s">
        <v>68</v>
      </c>
      <c r="B28" s="39"/>
      <c r="C28" s="39"/>
      <c r="D28" s="39"/>
      <c r="E28" s="81"/>
      <c r="F28" s="39"/>
      <c r="G28" s="39"/>
      <c r="H28" s="39"/>
      <c r="I28" s="55"/>
      <c r="J28" s="39"/>
    </row>
    <row r="29" spans="1:10" x14ac:dyDescent="0.3">
      <c r="A29" s="60" t="s">
        <v>69</v>
      </c>
      <c r="B29" s="39"/>
      <c r="C29" s="39"/>
      <c r="D29" s="39"/>
      <c r="E29" s="81"/>
      <c r="F29" s="39"/>
      <c r="G29" s="39"/>
      <c r="H29" s="39"/>
      <c r="I29" s="55"/>
      <c r="J29" s="39"/>
    </row>
    <row r="30" spans="1:10" x14ac:dyDescent="0.3">
      <c r="A30" s="60" t="s">
        <v>70</v>
      </c>
      <c r="B30" s="39"/>
      <c r="C30" s="39"/>
      <c r="D30" s="39"/>
      <c r="E30" s="81"/>
      <c r="F30" s="39"/>
      <c r="G30" s="39"/>
      <c r="H30" s="39"/>
      <c r="I30" s="55"/>
      <c r="J30" s="39"/>
    </row>
    <row r="31" spans="1:10" x14ac:dyDescent="0.3">
      <c r="A31" s="60" t="s">
        <v>72</v>
      </c>
      <c r="B31" s="39"/>
      <c r="C31" s="39"/>
      <c r="D31" s="39"/>
      <c r="E31" s="81"/>
      <c r="F31" s="39"/>
      <c r="G31" s="39"/>
      <c r="H31" s="39"/>
      <c r="I31" s="55"/>
      <c r="J31" s="39"/>
    </row>
    <row r="32" spans="1:10" x14ac:dyDescent="0.3">
      <c r="A32" s="60" t="s">
        <v>73</v>
      </c>
      <c r="B32" s="39"/>
      <c r="C32" s="39"/>
      <c r="D32" s="39"/>
      <c r="E32" s="81"/>
      <c r="F32" s="39"/>
      <c r="G32" s="39"/>
      <c r="H32" s="39"/>
      <c r="I32" s="55"/>
      <c r="J32" s="39"/>
    </row>
    <row r="33" spans="1:10" x14ac:dyDescent="0.3">
      <c r="A33" s="60" t="s">
        <v>74</v>
      </c>
      <c r="B33" s="39"/>
      <c r="C33" s="39"/>
      <c r="D33" s="39"/>
      <c r="E33" s="81"/>
      <c r="F33" s="39"/>
      <c r="G33" s="39"/>
      <c r="H33" s="39"/>
      <c r="I33" s="55"/>
      <c r="J33" s="39"/>
    </row>
    <row r="34" spans="1:10" x14ac:dyDescent="0.3">
      <c r="A34" s="60" t="s">
        <v>75</v>
      </c>
      <c r="B34" s="39"/>
      <c r="C34" s="39"/>
      <c r="D34" s="39"/>
      <c r="E34" s="81"/>
      <c r="F34" s="39"/>
      <c r="G34" s="39"/>
      <c r="H34" s="39"/>
      <c r="I34" s="55"/>
      <c r="J34" s="39"/>
    </row>
    <row r="35" spans="1:10" x14ac:dyDescent="0.3">
      <c r="A35" s="60" t="s">
        <v>76</v>
      </c>
      <c r="B35" s="39"/>
      <c r="C35" s="39"/>
      <c r="D35" s="39"/>
      <c r="E35" s="81"/>
      <c r="F35" s="39"/>
      <c r="G35" s="39"/>
      <c r="H35" s="39"/>
      <c r="I35" s="55"/>
      <c r="J35" s="39"/>
    </row>
    <row r="36" spans="1:10" x14ac:dyDescent="0.3">
      <c r="A36" s="60" t="s">
        <v>77</v>
      </c>
      <c r="B36" s="29"/>
      <c r="C36" s="29"/>
      <c r="D36" s="29"/>
      <c r="E36" s="81"/>
      <c r="F36" s="29"/>
      <c r="G36" s="29"/>
      <c r="H36" s="29"/>
      <c r="I36" s="55"/>
      <c r="J36" s="39"/>
    </row>
    <row r="37" spans="1:10" x14ac:dyDescent="0.3">
      <c r="A37" s="60" t="s">
        <v>77</v>
      </c>
      <c r="B37" s="39"/>
      <c r="C37" s="39"/>
      <c r="D37" s="39"/>
      <c r="E37" s="81"/>
      <c r="F37" s="39"/>
      <c r="G37" s="39"/>
      <c r="H37" s="39"/>
      <c r="I37" s="55"/>
      <c r="J37" s="39"/>
    </row>
    <row r="38" spans="1:10" x14ac:dyDescent="0.3">
      <c r="A38" s="60" t="s">
        <v>78</v>
      </c>
      <c r="B38" s="101"/>
      <c r="C38" s="101"/>
      <c r="D38" s="101"/>
      <c r="E38" s="81"/>
      <c r="F38" s="39"/>
      <c r="G38" s="39"/>
      <c r="H38" s="39"/>
      <c r="I38" s="55"/>
      <c r="J38" s="39"/>
    </row>
    <row r="39" spans="1:10" x14ac:dyDescent="0.3">
      <c r="A39" s="60" t="s">
        <v>79</v>
      </c>
      <c r="B39" s="39"/>
      <c r="C39" s="39"/>
      <c r="D39" s="39"/>
      <c r="E39" s="81"/>
      <c r="F39" s="39"/>
      <c r="G39" s="39"/>
      <c r="H39" s="39"/>
      <c r="I39" s="55"/>
      <c r="J39" s="39"/>
    </row>
    <row r="40" spans="1:10" x14ac:dyDescent="0.3">
      <c r="A40" s="103" t="s">
        <v>80</v>
      </c>
      <c r="B40" s="104"/>
      <c r="C40" s="104"/>
      <c r="D40" s="104"/>
      <c r="E40" s="81"/>
      <c r="F40" s="104"/>
      <c r="G40" s="104"/>
      <c r="H40" s="104"/>
      <c r="I40" s="55"/>
      <c r="J40" s="104"/>
    </row>
    <row r="41" spans="1:10" x14ac:dyDescent="0.3">
      <c r="A41" s="60" t="s">
        <v>81</v>
      </c>
      <c r="B41" s="39"/>
      <c r="C41" s="39"/>
      <c r="D41" s="39"/>
      <c r="E41" s="81"/>
      <c r="F41" s="39"/>
      <c r="G41" s="39"/>
      <c r="H41" s="39"/>
      <c r="I41" s="55"/>
      <c r="J41" s="39"/>
    </row>
    <row r="42" spans="1:10" x14ac:dyDescent="0.3">
      <c r="A42" s="60" t="s">
        <v>82</v>
      </c>
      <c r="B42" s="39"/>
      <c r="C42" s="39"/>
      <c r="D42" s="39"/>
      <c r="E42" s="81"/>
      <c r="F42" s="39"/>
      <c r="G42" s="39"/>
      <c r="H42" s="39"/>
      <c r="I42" s="55"/>
      <c r="J42" s="39"/>
    </row>
    <row r="43" spans="1:10" x14ac:dyDescent="0.3">
      <c r="A43" s="60" t="s">
        <v>83</v>
      </c>
      <c r="B43" s="39"/>
      <c r="C43" s="39"/>
      <c r="D43" s="39"/>
      <c r="E43" s="81"/>
      <c r="F43" s="39"/>
      <c r="G43" s="39"/>
      <c r="H43" s="39"/>
      <c r="I43" s="55"/>
      <c r="J43" s="39"/>
    </row>
    <row r="44" spans="1:10" x14ac:dyDescent="0.3">
      <c r="A44" s="60" t="s">
        <v>84</v>
      </c>
      <c r="B44" s="39"/>
      <c r="C44" s="39"/>
      <c r="D44" s="39"/>
      <c r="E44" s="81"/>
      <c r="F44" s="39"/>
      <c r="G44" s="39"/>
      <c r="H44" s="39"/>
      <c r="I44" s="55"/>
      <c r="J44" s="39"/>
    </row>
    <row r="45" spans="1:10" x14ac:dyDescent="0.3">
      <c r="A45" s="60" t="s">
        <v>85</v>
      </c>
      <c r="B45" s="39"/>
      <c r="C45" s="39"/>
      <c r="D45" s="39"/>
      <c r="E45" s="81"/>
      <c r="F45" s="39"/>
      <c r="G45" s="39"/>
      <c r="H45" s="39"/>
      <c r="I45" s="55"/>
      <c r="J45" s="39"/>
    </row>
    <row r="46" spans="1:10" x14ac:dyDescent="0.3">
      <c r="A46" s="60" t="s">
        <v>86</v>
      </c>
      <c r="B46" s="39"/>
      <c r="C46" s="39"/>
      <c r="D46" s="39"/>
      <c r="E46" s="81"/>
      <c r="F46" s="39"/>
      <c r="G46" s="39"/>
      <c r="H46" s="39"/>
      <c r="I46" s="55"/>
      <c r="J46" s="39"/>
    </row>
    <row r="47" spans="1:10" x14ac:dyDescent="0.3">
      <c r="A47" s="60" t="s">
        <v>87</v>
      </c>
      <c r="B47" s="39"/>
      <c r="C47" s="39"/>
      <c r="D47" s="39"/>
      <c r="E47" s="81"/>
      <c r="F47" s="39"/>
      <c r="G47" s="39"/>
      <c r="H47" s="39"/>
      <c r="I47" s="55"/>
      <c r="J47" s="39"/>
    </row>
    <row r="48" spans="1:10" x14ac:dyDescent="0.3">
      <c r="A48" s="60" t="s">
        <v>88</v>
      </c>
      <c r="B48" s="39"/>
      <c r="C48" s="39"/>
      <c r="D48" s="39"/>
      <c r="E48" s="81"/>
      <c r="F48" s="39"/>
      <c r="G48" s="39"/>
      <c r="H48" s="39"/>
      <c r="I48" s="55"/>
      <c r="J48" s="39"/>
    </row>
    <row r="49" spans="1:10" x14ac:dyDescent="0.3">
      <c r="A49" s="60" t="s">
        <v>89</v>
      </c>
      <c r="B49" s="39"/>
      <c r="C49" s="39"/>
      <c r="D49" s="39"/>
      <c r="E49" s="81"/>
      <c r="F49" s="39"/>
      <c r="G49" s="39"/>
      <c r="H49" s="39"/>
      <c r="I49" s="55"/>
      <c r="J49" s="39"/>
    </row>
    <row r="50" spans="1:10" x14ac:dyDescent="0.3">
      <c r="A50" s="60" t="s">
        <v>90</v>
      </c>
      <c r="B50" s="39"/>
      <c r="C50" s="39"/>
      <c r="D50" s="39"/>
      <c r="E50" s="81"/>
      <c r="F50" s="39"/>
      <c r="G50" s="39"/>
      <c r="H50" s="39"/>
      <c r="I50" s="55"/>
      <c r="J50" s="39"/>
    </row>
    <row r="51" spans="1:10" x14ac:dyDescent="0.3">
      <c r="A51" s="60" t="s">
        <v>91</v>
      </c>
      <c r="B51" s="39"/>
      <c r="C51" s="39"/>
      <c r="D51" s="39"/>
      <c r="E51" s="81"/>
      <c r="F51" s="39"/>
      <c r="G51" s="39"/>
      <c r="H51" s="39"/>
      <c r="I51" s="55"/>
      <c r="J51" s="39"/>
    </row>
    <row r="52" spans="1:10" x14ac:dyDescent="0.3">
      <c r="A52" s="60" t="s">
        <v>92</v>
      </c>
      <c r="B52" s="39"/>
      <c r="C52" s="39"/>
      <c r="D52" s="39"/>
      <c r="E52" s="81"/>
      <c r="F52" s="39"/>
      <c r="G52" s="39"/>
      <c r="H52" s="39"/>
      <c r="I52" s="55"/>
      <c r="J52" s="39"/>
    </row>
    <row r="53" spans="1:10" x14ac:dyDescent="0.3">
      <c r="A53" s="60" t="s">
        <v>93</v>
      </c>
      <c r="B53" s="39"/>
      <c r="C53" s="39"/>
      <c r="D53" s="39"/>
      <c r="E53" s="81"/>
      <c r="F53" s="39"/>
      <c r="G53" s="39"/>
      <c r="H53" s="39"/>
      <c r="I53" s="55"/>
      <c r="J53" s="39"/>
    </row>
    <row r="54" spans="1:10" x14ac:dyDescent="0.3">
      <c r="A54" s="39"/>
      <c r="B54" s="39"/>
      <c r="C54" s="39"/>
      <c r="D54" s="39"/>
      <c r="E54" s="81">
        <f t="shared" ref="E11:E74" si="0">(B54*12.25+C54*0)</f>
        <v>0</v>
      </c>
      <c r="F54" s="39"/>
      <c r="G54" s="39"/>
      <c r="H54" s="39"/>
      <c r="I54" s="55">
        <f t="shared" ref="I11:I74" si="1">(F54*12.25+G54*0)</f>
        <v>0</v>
      </c>
      <c r="J54" s="39">
        <f t="shared" ref="J11:J74" si="2">(E54*D54+H54*I54)</f>
        <v>0</v>
      </c>
    </row>
    <row r="55" spans="1:10" x14ac:dyDescent="0.3">
      <c r="A55" s="39"/>
      <c r="B55" s="39"/>
      <c r="C55" s="39"/>
      <c r="D55" s="39"/>
      <c r="E55" s="81">
        <f t="shared" si="0"/>
        <v>0</v>
      </c>
      <c r="F55" s="39"/>
      <c r="G55" s="39"/>
      <c r="H55" s="39"/>
      <c r="I55" s="55">
        <f t="shared" si="1"/>
        <v>0</v>
      </c>
      <c r="J55" s="39">
        <f t="shared" si="2"/>
        <v>0</v>
      </c>
    </row>
    <row r="56" spans="1:10" x14ac:dyDescent="0.3">
      <c r="A56" s="39"/>
      <c r="B56" s="39"/>
      <c r="C56" s="39"/>
      <c r="D56" s="39"/>
      <c r="E56" s="81">
        <f t="shared" si="0"/>
        <v>0</v>
      </c>
      <c r="F56" s="39"/>
      <c r="G56" s="39"/>
      <c r="H56" s="39"/>
      <c r="I56" s="55">
        <f t="shared" si="1"/>
        <v>0</v>
      </c>
      <c r="J56" s="39">
        <f t="shared" si="2"/>
        <v>0</v>
      </c>
    </row>
    <row r="57" spans="1:10" x14ac:dyDescent="0.3">
      <c r="A57" s="39"/>
      <c r="B57" s="39"/>
      <c r="C57" s="39"/>
      <c r="D57" s="39"/>
      <c r="E57" s="81">
        <f t="shared" si="0"/>
        <v>0</v>
      </c>
      <c r="F57" s="39"/>
      <c r="G57" s="39"/>
      <c r="H57" s="39"/>
      <c r="I57" s="55">
        <f t="shared" si="1"/>
        <v>0</v>
      </c>
      <c r="J57" s="39">
        <f t="shared" si="2"/>
        <v>0</v>
      </c>
    </row>
    <row r="58" spans="1:10" x14ac:dyDescent="0.3">
      <c r="A58" s="39"/>
      <c r="B58" s="39"/>
      <c r="C58" s="39"/>
      <c r="D58" s="39"/>
      <c r="E58" s="81">
        <f t="shared" si="0"/>
        <v>0</v>
      </c>
      <c r="F58" s="39"/>
      <c r="G58" s="39"/>
      <c r="H58" s="39"/>
      <c r="I58" s="55">
        <f t="shared" si="1"/>
        <v>0</v>
      </c>
      <c r="J58" s="39">
        <f t="shared" si="2"/>
        <v>0</v>
      </c>
    </row>
    <row r="59" spans="1:10" x14ac:dyDescent="0.3">
      <c r="A59" s="39"/>
      <c r="B59" s="39"/>
      <c r="C59" s="39"/>
      <c r="D59" s="39"/>
      <c r="E59" s="81">
        <f t="shared" si="0"/>
        <v>0</v>
      </c>
      <c r="F59" s="39"/>
      <c r="G59" s="39"/>
      <c r="H59" s="39"/>
      <c r="I59" s="55">
        <f t="shared" si="1"/>
        <v>0</v>
      </c>
      <c r="J59" s="39">
        <f t="shared" si="2"/>
        <v>0</v>
      </c>
    </row>
    <row r="60" spans="1:10" x14ac:dyDescent="0.3">
      <c r="A60" s="39"/>
      <c r="B60" s="39"/>
      <c r="C60" s="39"/>
      <c r="D60" s="39"/>
      <c r="E60" s="81">
        <f t="shared" si="0"/>
        <v>0</v>
      </c>
      <c r="F60" s="39"/>
      <c r="G60" s="39"/>
      <c r="H60" s="39"/>
      <c r="I60" s="55">
        <f t="shared" si="1"/>
        <v>0</v>
      </c>
      <c r="J60" s="39">
        <f t="shared" si="2"/>
        <v>0</v>
      </c>
    </row>
    <row r="61" spans="1:10" x14ac:dyDescent="0.3">
      <c r="A61" s="39"/>
      <c r="B61" s="39"/>
      <c r="C61" s="39"/>
      <c r="D61" s="39"/>
      <c r="E61" s="81">
        <f t="shared" si="0"/>
        <v>0</v>
      </c>
      <c r="F61" s="39"/>
      <c r="G61" s="39"/>
      <c r="H61" s="39"/>
      <c r="I61" s="55">
        <f t="shared" si="1"/>
        <v>0</v>
      </c>
      <c r="J61" s="39">
        <f t="shared" si="2"/>
        <v>0</v>
      </c>
    </row>
    <row r="62" spans="1:10" x14ac:dyDescent="0.3">
      <c r="A62" s="39"/>
      <c r="B62" s="39"/>
      <c r="C62" s="39"/>
      <c r="D62" s="39"/>
      <c r="E62" s="81">
        <f t="shared" si="0"/>
        <v>0</v>
      </c>
      <c r="F62" s="39"/>
      <c r="G62" s="39"/>
      <c r="H62" s="39"/>
      <c r="I62" s="55">
        <f t="shared" si="1"/>
        <v>0</v>
      </c>
      <c r="J62" s="39">
        <f t="shared" si="2"/>
        <v>0</v>
      </c>
    </row>
    <row r="63" spans="1:10" x14ac:dyDescent="0.3">
      <c r="A63" s="39"/>
      <c r="B63" s="39"/>
      <c r="C63" s="39"/>
      <c r="D63" s="39"/>
      <c r="E63" s="81">
        <f t="shared" si="0"/>
        <v>0</v>
      </c>
      <c r="F63" s="39"/>
      <c r="G63" s="39"/>
      <c r="H63" s="39"/>
      <c r="I63" s="55">
        <f t="shared" si="1"/>
        <v>0</v>
      </c>
      <c r="J63" s="39">
        <f t="shared" si="2"/>
        <v>0</v>
      </c>
    </row>
    <row r="64" spans="1:10" x14ac:dyDescent="0.3">
      <c r="A64" s="39"/>
      <c r="B64" s="39"/>
      <c r="C64" s="39"/>
      <c r="D64" s="39"/>
      <c r="E64" s="81">
        <f t="shared" si="0"/>
        <v>0</v>
      </c>
      <c r="F64" s="39"/>
      <c r="G64" s="39"/>
      <c r="H64" s="39"/>
      <c r="I64" s="55">
        <f t="shared" si="1"/>
        <v>0</v>
      </c>
      <c r="J64" s="39">
        <f t="shared" si="2"/>
        <v>0</v>
      </c>
    </row>
    <row r="65" spans="1:10" x14ac:dyDescent="0.3">
      <c r="A65" s="39"/>
      <c r="B65" s="39"/>
      <c r="C65" s="39"/>
      <c r="D65" s="39"/>
      <c r="E65" s="81">
        <f t="shared" si="0"/>
        <v>0</v>
      </c>
      <c r="F65" s="39"/>
      <c r="G65" s="39"/>
      <c r="H65" s="39"/>
      <c r="I65" s="55">
        <f t="shared" si="1"/>
        <v>0</v>
      </c>
      <c r="J65" s="39">
        <f t="shared" si="2"/>
        <v>0</v>
      </c>
    </row>
    <row r="66" spans="1:10" x14ac:dyDescent="0.3">
      <c r="A66" s="39"/>
      <c r="B66" s="39"/>
      <c r="C66" s="39"/>
      <c r="D66" s="39"/>
      <c r="E66" s="81">
        <f t="shared" si="0"/>
        <v>0</v>
      </c>
      <c r="F66" s="39"/>
      <c r="G66" s="39"/>
      <c r="H66" s="39"/>
      <c r="I66" s="55">
        <f t="shared" si="1"/>
        <v>0</v>
      </c>
      <c r="J66" s="39">
        <f t="shared" si="2"/>
        <v>0</v>
      </c>
    </row>
    <row r="67" spans="1:10" x14ac:dyDescent="0.3">
      <c r="A67" s="39"/>
      <c r="B67" s="39"/>
      <c r="C67" s="39"/>
      <c r="D67" s="39"/>
      <c r="E67" s="81">
        <f t="shared" si="0"/>
        <v>0</v>
      </c>
      <c r="F67" s="39"/>
      <c r="G67" s="39"/>
      <c r="H67" s="39"/>
      <c r="I67" s="55">
        <f t="shared" si="1"/>
        <v>0</v>
      </c>
      <c r="J67" s="39">
        <f t="shared" si="2"/>
        <v>0</v>
      </c>
    </row>
    <row r="68" spans="1:10" x14ac:dyDescent="0.3">
      <c r="A68" s="39"/>
      <c r="B68" s="39"/>
      <c r="C68" s="39"/>
      <c r="D68" s="39"/>
      <c r="E68" s="81">
        <f t="shared" si="0"/>
        <v>0</v>
      </c>
      <c r="F68" s="39"/>
      <c r="G68" s="39"/>
      <c r="H68" s="39"/>
      <c r="I68" s="55">
        <f t="shared" si="1"/>
        <v>0</v>
      </c>
      <c r="J68" s="39">
        <f t="shared" si="2"/>
        <v>0</v>
      </c>
    </row>
    <row r="69" spans="1:10" x14ac:dyDescent="0.3">
      <c r="A69" s="39"/>
      <c r="B69" s="39"/>
      <c r="C69" s="39"/>
      <c r="D69" s="39"/>
      <c r="E69" s="81">
        <f t="shared" si="0"/>
        <v>0</v>
      </c>
      <c r="F69" s="39"/>
      <c r="G69" s="39"/>
      <c r="H69" s="39"/>
      <c r="I69" s="55">
        <f t="shared" si="1"/>
        <v>0</v>
      </c>
      <c r="J69" s="39">
        <f t="shared" si="2"/>
        <v>0</v>
      </c>
    </row>
    <row r="70" spans="1:10" x14ac:dyDescent="0.3">
      <c r="A70" s="39"/>
      <c r="B70" s="39"/>
      <c r="C70" s="39"/>
      <c r="D70" s="39"/>
      <c r="E70" s="81">
        <f t="shared" si="0"/>
        <v>0</v>
      </c>
      <c r="F70" s="39"/>
      <c r="G70" s="39"/>
      <c r="H70" s="39"/>
      <c r="I70" s="55">
        <f t="shared" si="1"/>
        <v>0</v>
      </c>
      <c r="J70" s="39">
        <f t="shared" si="2"/>
        <v>0</v>
      </c>
    </row>
    <row r="71" spans="1:10" x14ac:dyDescent="0.3">
      <c r="A71" s="39"/>
      <c r="B71" s="39"/>
      <c r="C71" s="39"/>
      <c r="D71" s="39"/>
      <c r="E71" s="81">
        <f t="shared" si="0"/>
        <v>0</v>
      </c>
      <c r="F71" s="39"/>
      <c r="G71" s="39"/>
      <c r="H71" s="39"/>
      <c r="I71" s="55">
        <f t="shared" si="1"/>
        <v>0</v>
      </c>
      <c r="J71" s="39">
        <f t="shared" si="2"/>
        <v>0</v>
      </c>
    </row>
    <row r="72" spans="1:10" x14ac:dyDescent="0.3">
      <c r="A72" s="39"/>
      <c r="B72" s="39"/>
      <c r="C72" s="39"/>
      <c r="D72" s="39"/>
      <c r="E72" s="81">
        <f t="shared" si="0"/>
        <v>0</v>
      </c>
      <c r="F72" s="39"/>
      <c r="G72" s="39"/>
      <c r="H72" s="39"/>
      <c r="I72" s="55">
        <f t="shared" si="1"/>
        <v>0</v>
      </c>
      <c r="J72" s="39">
        <f t="shared" si="2"/>
        <v>0</v>
      </c>
    </row>
    <row r="73" spans="1:10" x14ac:dyDescent="0.3">
      <c r="A73" s="39"/>
      <c r="B73" s="39"/>
      <c r="C73" s="39"/>
      <c r="D73" s="39"/>
      <c r="E73" s="81">
        <f t="shared" si="0"/>
        <v>0</v>
      </c>
      <c r="F73" s="39"/>
      <c r="G73" s="39"/>
      <c r="H73" s="39"/>
      <c r="I73" s="55">
        <f t="shared" si="1"/>
        <v>0</v>
      </c>
      <c r="J73" s="39">
        <f t="shared" si="2"/>
        <v>0</v>
      </c>
    </row>
    <row r="74" spans="1:10" x14ac:dyDescent="0.3">
      <c r="A74" s="39"/>
      <c r="B74" s="39"/>
      <c r="C74" s="39"/>
      <c r="D74" s="39"/>
      <c r="E74" s="81">
        <f t="shared" si="0"/>
        <v>0</v>
      </c>
      <c r="F74" s="39"/>
      <c r="G74" s="39"/>
      <c r="H74" s="39"/>
      <c r="I74" s="55">
        <f t="shared" si="1"/>
        <v>0</v>
      </c>
      <c r="J74" s="39">
        <f t="shared" si="2"/>
        <v>0</v>
      </c>
    </row>
    <row r="75" spans="1:10" x14ac:dyDescent="0.3">
      <c r="A75" s="39"/>
      <c r="B75" s="39"/>
      <c r="C75" s="39"/>
      <c r="D75" s="39"/>
      <c r="E75" s="81">
        <f t="shared" ref="E75:E77" si="3">(B75*12.25+C75*0)</f>
        <v>0</v>
      </c>
      <c r="F75" s="39"/>
      <c r="G75" s="39"/>
      <c r="H75" s="39"/>
      <c r="I75" s="55">
        <f t="shared" ref="I75:I77" si="4">(F75*12.25+G75*0)</f>
        <v>0</v>
      </c>
      <c r="J75" s="39">
        <f t="shared" ref="J75:J78" si="5">(E75*D75+H75*I75)</f>
        <v>0</v>
      </c>
    </row>
    <row r="76" spans="1:10" x14ac:dyDescent="0.3">
      <c r="A76" s="39"/>
      <c r="B76" s="39"/>
      <c r="C76" s="39"/>
      <c r="D76" s="39"/>
      <c r="E76" s="81">
        <f t="shared" si="3"/>
        <v>0</v>
      </c>
      <c r="F76" s="39"/>
      <c r="G76" s="39"/>
      <c r="H76" s="39"/>
      <c r="I76" s="55">
        <f t="shared" si="4"/>
        <v>0</v>
      </c>
      <c r="J76" s="39">
        <f t="shared" si="5"/>
        <v>0</v>
      </c>
    </row>
    <row r="77" spans="1:10" x14ac:dyDescent="0.3">
      <c r="A77" s="39"/>
      <c r="B77" s="39"/>
      <c r="C77" s="39"/>
      <c r="D77" s="39"/>
      <c r="E77" s="81">
        <f t="shared" si="3"/>
        <v>0</v>
      </c>
      <c r="F77" s="39"/>
      <c r="G77" s="39"/>
      <c r="H77" s="73"/>
      <c r="I77" s="55">
        <f t="shared" si="4"/>
        <v>0</v>
      </c>
      <c r="J77" s="39">
        <f t="shared" si="5"/>
        <v>0</v>
      </c>
    </row>
    <row r="78" spans="1:10" x14ac:dyDescent="0.3">
      <c r="I78" s="22"/>
    </row>
    <row r="79" spans="1:10" x14ac:dyDescent="0.3">
      <c r="I79" s="22"/>
    </row>
    <row r="80" spans="1:10" x14ac:dyDescent="0.3">
      <c r="I80" s="22"/>
    </row>
    <row r="81" spans="9:9" x14ac:dyDescent="0.3">
      <c r="I81" s="22"/>
    </row>
    <row r="82" spans="9:9" x14ac:dyDescent="0.3">
      <c r="I82" s="22"/>
    </row>
  </sheetData>
  <mergeCells count="3">
    <mergeCell ref="B4:I4"/>
    <mergeCell ref="A8:D8"/>
    <mergeCell ref="F8: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</vt:lpstr>
      <vt:lpstr>Customer Index</vt:lpstr>
      <vt:lpstr>Kac001</vt:lpstr>
      <vt:lpstr>Kac01</vt:lpstr>
      <vt:lpstr>Kac02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Yadav</dc:creator>
  <cp:lastModifiedBy>Krishna Yadav</cp:lastModifiedBy>
  <cp:lastPrinted>2024-12-22T10:38:45Z</cp:lastPrinted>
  <dcterms:created xsi:type="dcterms:W3CDTF">2024-11-27T09:14:43Z</dcterms:created>
  <dcterms:modified xsi:type="dcterms:W3CDTF">2024-12-22T12:14:40Z</dcterms:modified>
</cp:coreProperties>
</file>