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xopy\OneDrive\Desktop\Nepal Dairy\Baswariya\"/>
    </mc:Choice>
  </mc:AlternateContent>
  <bookViews>
    <workbookView xWindow="0" yWindow="0" windowWidth="23040" windowHeight="8988" tabRatio="942" firstSheet="1" activeTab="16"/>
  </bookViews>
  <sheets>
    <sheet name="Sheet1" sheetId="1" r:id="rId1"/>
    <sheet name="Customer Index" sheetId="2" r:id="rId2"/>
    <sheet name="Sheet3" sheetId="3" r:id="rId3"/>
    <sheet name="Sheet 4" sheetId="4" r:id="rId4"/>
    <sheet name="Sheet 5" sheetId="9" r:id="rId5"/>
    <sheet name="Sheet 6" sheetId="11" r:id="rId6"/>
    <sheet name="Sheet 7" sheetId="12" r:id="rId7"/>
    <sheet name="Sheet 8" sheetId="14" r:id="rId8"/>
    <sheet name="Sheet 9" sheetId="17" r:id="rId9"/>
    <sheet name="Sheet 10" sheetId="18" r:id="rId10"/>
    <sheet name="Sheet 11" sheetId="20" r:id="rId11"/>
    <sheet name="Sheet 12" sheetId="21" r:id="rId12"/>
    <sheet name="Sheet 13" sheetId="22" r:id="rId13"/>
    <sheet name="Sheet 14" sheetId="23" r:id="rId14"/>
    <sheet name="Sheet 15" sheetId="25" r:id="rId15"/>
    <sheet name="Sheet 16" sheetId="26" r:id="rId16"/>
    <sheet name="Sheet 17" sheetId="27" r:id="rId17"/>
    <sheet name="Sheet 18" sheetId="28" r:id="rId18"/>
    <sheet name="Sheet 19" sheetId="29" r:id="rId19"/>
    <sheet name="Sheet 20" sheetId="31" r:id="rId20"/>
    <sheet name="Sheet 21" sheetId="32" r:id="rId21"/>
    <sheet name="Sheet 22" sheetId="33" r:id="rId22"/>
    <sheet name="Sheet 23" sheetId="34" r:id="rId23"/>
    <sheet name="Sheet 24" sheetId="35" r:id="rId24"/>
    <sheet name="Sheet 25" sheetId="36" r:id="rId25"/>
    <sheet name="Sheet 26" sheetId="37" r:id="rId26"/>
    <sheet name="Sheet 27" sheetId="38" r:id="rId27"/>
    <sheet name="Sheet 28" sheetId="39" r:id="rId28"/>
    <sheet name="Sheet 29" sheetId="40" r:id="rId29"/>
    <sheet name="Sheet 30" sheetId="41" r:id="rId30"/>
    <sheet name="Sheet 31" sheetId="42" r:id="rId31"/>
    <sheet name="Sheet 32" sheetId="43" r:id="rId32"/>
    <sheet name="Sheet 33" sheetId="44" r:id="rId33"/>
    <sheet name="Sheet 34" sheetId="49" r:id="rId34"/>
    <sheet name="Sheet 35" sheetId="50" r:id="rId35"/>
    <sheet name="Sheet 36" sheetId="51" r:id="rId36"/>
    <sheet name="Sheet 37" sheetId="52" r:id="rId37"/>
    <sheet name="Sheet 38" sheetId="53" r:id="rId38"/>
  </sheets>
  <calcPr calcId="162913"/>
</workbook>
</file>

<file path=xl/calcChain.xml><?xml version="1.0" encoding="utf-8"?>
<calcChain xmlns="http://schemas.openxmlformats.org/spreadsheetml/2006/main">
  <c r="M49" i="27" l="1"/>
  <c r="M50" i="27"/>
  <c r="M51" i="27"/>
  <c r="M52" i="27"/>
  <c r="M53" i="27"/>
  <c r="M54" i="27"/>
  <c r="M55" i="27"/>
  <c r="M56" i="27"/>
  <c r="M57" i="27"/>
  <c r="M58" i="27"/>
  <c r="M59" i="27"/>
  <c r="M60" i="27"/>
  <c r="M61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M54" i="31" l="1"/>
  <c r="M55" i="31"/>
  <c r="M56" i="31"/>
  <c r="M57" i="31"/>
  <c r="L54" i="31"/>
  <c r="L55" i="31"/>
  <c r="L56" i="31"/>
  <c r="L57" i="31"/>
  <c r="F54" i="31"/>
  <c r="F55" i="31"/>
  <c r="F56" i="31"/>
  <c r="F57" i="31"/>
  <c r="F53" i="31"/>
  <c r="E54" i="31"/>
  <c r="E55" i="31"/>
  <c r="E56" i="31"/>
  <c r="E57" i="31"/>
  <c r="E53" i="31"/>
  <c r="O50" i="18"/>
  <c r="O51" i="18"/>
  <c r="O52" i="18"/>
  <c r="O53" i="18"/>
  <c r="E46" i="36"/>
  <c r="O44" i="49" l="1"/>
  <c r="O45" i="49"/>
  <c r="O46" i="49"/>
  <c r="O47" i="49"/>
  <c r="O48" i="49"/>
  <c r="O49" i="49"/>
  <c r="O50" i="49"/>
  <c r="O51" i="49"/>
  <c r="O52" i="49"/>
  <c r="O53" i="49"/>
  <c r="M54" i="35"/>
  <c r="L54" i="35"/>
  <c r="O44" i="39"/>
  <c r="O45" i="39"/>
  <c r="O46" i="39"/>
  <c r="O47" i="39"/>
  <c r="O48" i="39"/>
  <c r="O49" i="39"/>
  <c r="O50" i="39"/>
  <c r="O51" i="39"/>
  <c r="O52" i="39"/>
  <c r="O53" i="39"/>
  <c r="O43" i="38" l="1"/>
  <c r="O44" i="38" s="1"/>
  <c r="O45" i="38" s="1"/>
  <c r="O46" i="38" s="1"/>
  <c r="O47" i="38" s="1"/>
  <c r="O48" i="38" s="1"/>
  <c r="O49" i="38" s="1"/>
  <c r="O50" i="38" s="1"/>
  <c r="O51" i="38" s="1"/>
  <c r="O52" i="38" s="1"/>
  <c r="O53" i="38" s="1"/>
  <c r="F38" i="38"/>
  <c r="L38" i="38" s="1"/>
  <c r="E38" i="38"/>
  <c r="F43" i="38"/>
  <c r="E43" i="38"/>
  <c r="L24" i="41" l="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M41" i="43" l="1"/>
  <c r="M42" i="43"/>
  <c r="O41" i="43"/>
  <c r="O42" i="43"/>
  <c r="M43" i="42"/>
  <c r="M44" i="42"/>
  <c r="M45" i="42"/>
  <c r="N44" i="52" l="1"/>
  <c r="N45" i="52"/>
  <c r="N46" i="52"/>
  <c r="N47" i="52"/>
  <c r="N48" i="52"/>
  <c r="N49" i="52"/>
  <c r="N50" i="52"/>
  <c r="N51" i="52"/>
  <c r="N52" i="52"/>
  <c r="N53" i="52"/>
  <c r="L24" i="49"/>
  <c r="L25" i="49"/>
  <c r="L26" i="49" s="1"/>
  <c r="L27" i="49" s="1"/>
  <c r="L28" i="49" s="1"/>
  <c r="L29" i="49" s="1"/>
  <c r="L30" i="49" s="1"/>
  <c r="L31" i="49" s="1"/>
  <c r="L32" i="49" s="1"/>
  <c r="L33" i="49" s="1"/>
  <c r="L34" i="49" s="1"/>
  <c r="L35" i="49" s="1"/>
  <c r="L36" i="49" s="1"/>
  <c r="L37" i="49" s="1"/>
  <c r="L38" i="49" s="1"/>
  <c r="L39" i="49" s="1"/>
  <c r="L40" i="49" s="1"/>
  <c r="L41" i="49" s="1"/>
  <c r="L42" i="49" s="1"/>
  <c r="L43" i="49" s="1"/>
  <c r="L44" i="49" s="1"/>
  <c r="L45" i="49" s="1"/>
  <c r="L46" i="49" s="1"/>
  <c r="L47" i="49" s="1"/>
  <c r="L48" i="49" s="1"/>
  <c r="L49" i="49" s="1"/>
  <c r="L50" i="49" s="1"/>
  <c r="L51" i="49" s="1"/>
  <c r="L52" i="49" s="1"/>
  <c r="L53" i="49" s="1"/>
  <c r="L24" i="44"/>
  <c r="L25" i="44" s="1"/>
  <c r="L26" i="44" s="1"/>
  <c r="L27" i="44" s="1"/>
  <c r="L28" i="44" s="1"/>
  <c r="L29" i="44" s="1"/>
  <c r="L30" i="44" s="1"/>
  <c r="L31" i="44" s="1"/>
  <c r="L32" i="44" s="1"/>
  <c r="L33" i="44" s="1"/>
  <c r="L34" i="44" s="1"/>
  <c r="L35" i="44" s="1"/>
  <c r="L36" i="44" s="1"/>
  <c r="L37" i="44" s="1"/>
  <c r="L38" i="44" s="1"/>
  <c r="L39" i="44" s="1"/>
  <c r="L40" i="44" s="1"/>
  <c r="L41" i="44" s="1"/>
  <c r="L42" i="44" s="1"/>
  <c r="L43" i="44" s="1"/>
  <c r="L44" i="44" s="1"/>
  <c r="L45" i="44" s="1"/>
  <c r="L46" i="44" s="1"/>
  <c r="L47" i="44" s="1"/>
  <c r="L48" i="44" s="1"/>
  <c r="L49" i="44" s="1"/>
  <c r="L50" i="44" s="1"/>
  <c r="L51" i="44" s="1"/>
  <c r="L52" i="44" s="1"/>
  <c r="L53" i="44" s="1"/>
  <c r="L54" i="44" s="1"/>
  <c r="L55" i="44" s="1"/>
  <c r="M44" i="44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L43" i="42"/>
  <c r="L44" i="42" s="1"/>
  <c r="L45" i="42" s="1"/>
  <c r="F43" i="42"/>
  <c r="F44" i="42"/>
  <c r="F45" i="42"/>
  <c r="L24" i="42"/>
  <c r="L25" i="42" s="1"/>
  <c r="L26" i="42" s="1"/>
  <c r="L27" i="42" s="1"/>
  <c r="L28" i="42" s="1"/>
  <c r="L29" i="42" s="1"/>
  <c r="L30" i="42" s="1"/>
  <c r="L31" i="42" s="1"/>
  <c r="L32" i="42" s="1"/>
  <c r="L33" i="42" s="1"/>
  <c r="L34" i="42" s="1"/>
  <c r="L35" i="42" s="1"/>
  <c r="L36" i="42" s="1"/>
  <c r="L37" i="42" s="1"/>
  <c r="L38" i="42" s="1"/>
  <c r="L39" i="42" s="1"/>
  <c r="L40" i="42" s="1"/>
  <c r="L41" i="42" s="1"/>
  <c r="L42" i="42" s="1"/>
  <c r="L39" i="40"/>
  <c r="L24" i="40"/>
  <c r="L25" i="40" s="1"/>
  <c r="L26" i="40" s="1"/>
  <c r="L27" i="40" s="1"/>
  <c r="L28" i="40" s="1"/>
  <c r="L29" i="40" s="1"/>
  <c r="L30" i="40" s="1"/>
  <c r="L31" i="40" s="1"/>
  <c r="L32" i="40" s="1"/>
  <c r="L33" i="40" s="1"/>
  <c r="L34" i="40" s="1"/>
  <c r="L35" i="40" s="1"/>
  <c r="L36" i="40" s="1"/>
  <c r="L37" i="40" s="1"/>
  <c r="L38" i="40" s="1"/>
  <c r="M44" i="39"/>
  <c r="M45" i="39" s="1"/>
  <c r="M46" i="39" s="1"/>
  <c r="M47" i="39" s="1"/>
  <c r="M48" i="39" s="1"/>
  <c r="M49" i="39" s="1"/>
  <c r="M50" i="39" s="1"/>
  <c r="M51" i="39" s="1"/>
  <c r="M52" i="39" s="1"/>
  <c r="M53" i="39" s="1"/>
  <c r="L24" i="39"/>
  <c r="L25" i="39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L48" i="39" s="1"/>
  <c r="L49" i="39" s="1"/>
  <c r="L50" i="39" s="1"/>
  <c r="L51" i="39" s="1"/>
  <c r="L52" i="39" s="1"/>
  <c r="L53" i="39" s="1"/>
  <c r="F44" i="38"/>
  <c r="F45" i="38"/>
  <c r="F46" i="38"/>
  <c r="F47" i="38"/>
  <c r="F48" i="38"/>
  <c r="F49" i="38"/>
  <c r="F50" i="38"/>
  <c r="F51" i="38"/>
  <c r="F52" i="38"/>
  <c r="F53" i="38"/>
  <c r="E44" i="38"/>
  <c r="E45" i="38"/>
  <c r="E46" i="38"/>
  <c r="E47" i="38"/>
  <c r="E48" i="38"/>
  <c r="E49" i="38"/>
  <c r="E50" i="38"/>
  <c r="E51" i="38"/>
  <c r="E52" i="38"/>
  <c r="E53" i="38"/>
  <c r="L44" i="37"/>
  <c r="F41" i="37"/>
  <c r="L41" i="37" s="1"/>
  <c r="L42" i="37" s="1"/>
  <c r="L43" i="37" s="1"/>
  <c r="F42" i="37"/>
  <c r="F43" i="37"/>
  <c r="F44" i="37"/>
  <c r="F45" i="37"/>
  <c r="L24" i="37"/>
  <c r="L25" i="37" s="1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24" i="36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M41" i="35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L24" i="35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M41" i="34"/>
  <c r="M42" i="34" s="1"/>
  <c r="M43" i="34" s="1"/>
  <c r="L43" i="34"/>
  <c r="L24" i="34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24" i="33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M44" i="31"/>
  <c r="M45" i="31"/>
  <c r="M46" i="31" s="1"/>
  <c r="M47" i="31" s="1"/>
  <c r="M48" i="31" s="1"/>
  <c r="M49" i="31" s="1"/>
  <c r="M50" i="31" s="1"/>
  <c r="M51" i="31" s="1"/>
  <c r="M52" i="31" s="1"/>
  <c r="M53" i="31" s="1"/>
  <c r="L44" i="31"/>
  <c r="L45" i="31"/>
  <c r="L46" i="31"/>
  <c r="L47" i="31" s="1"/>
  <c r="L48" i="31" s="1"/>
  <c r="L49" i="31" s="1"/>
  <c r="L50" i="31" s="1"/>
  <c r="L51" i="31" s="1"/>
  <c r="L52" i="31" s="1"/>
  <c r="L53" i="31" s="1"/>
  <c r="M44" i="29"/>
  <c r="M45" i="29" s="1"/>
  <c r="M46" i="29" s="1"/>
  <c r="M47" i="29" s="1"/>
  <c r="M48" i="29" s="1"/>
  <c r="M49" i="29" s="1"/>
  <c r="M50" i="29" s="1"/>
  <c r="M51" i="29" s="1"/>
  <c r="M52" i="29" s="1"/>
  <c r="M53" i="29" s="1"/>
  <c r="L24" i="29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3" i="28"/>
  <c r="L52" i="28"/>
  <c r="L51" i="28"/>
  <c r="L24" i="28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M42" i="27"/>
  <c r="M43" i="27" s="1"/>
  <c r="M44" i="27" s="1"/>
  <c r="M45" i="27" s="1"/>
  <c r="L24" i="27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F42" i="27"/>
  <c r="F43" i="27"/>
  <c r="F44" i="27"/>
  <c r="F45" i="27"/>
  <c r="F46" i="27"/>
  <c r="F47" i="27"/>
  <c r="F48" i="27"/>
  <c r="F49" i="27"/>
  <c r="F50" i="27"/>
  <c r="F51" i="27"/>
  <c r="E47" i="27"/>
  <c r="E48" i="27"/>
  <c r="E49" i="27"/>
  <c r="E50" i="27"/>
  <c r="E51" i="27"/>
  <c r="L24" i="25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N50" i="23"/>
  <c r="N51" i="23"/>
  <c r="N52" i="23"/>
  <c r="M50" i="23"/>
  <c r="M51" i="23" s="1"/>
  <c r="M52" i="23" s="1"/>
  <c r="M53" i="23" s="1"/>
  <c r="N53" i="23" s="1"/>
  <c r="L50" i="23"/>
  <c r="L51" i="23" s="1"/>
  <c r="L52" i="23" s="1"/>
  <c r="L53" i="23" s="1"/>
  <c r="L30" i="22"/>
  <c r="L23" i="23"/>
  <c r="M23" i="23"/>
  <c r="L24" i="22"/>
  <c r="L25" i="22" s="1"/>
  <c r="L26" i="22" s="1"/>
  <c r="L27" i="22" s="1"/>
  <c r="L28" i="22" s="1"/>
  <c r="L29" i="22" s="1"/>
  <c r="L23" i="22"/>
  <c r="O75" i="21"/>
  <c r="O76" i="21"/>
  <c r="O77" i="21" s="1"/>
  <c r="O78" i="21" s="1"/>
  <c r="O79" i="21" s="1"/>
  <c r="O80" i="21" s="1"/>
  <c r="O81" i="21" s="1"/>
  <c r="O82" i="21" s="1"/>
  <c r="N75" i="21"/>
  <c r="N76" i="21"/>
  <c r="N77" i="21"/>
  <c r="N78" i="21"/>
  <c r="N79" i="21"/>
  <c r="N80" i="21"/>
  <c r="N81" i="21"/>
  <c r="M75" i="21"/>
  <c r="M76" i="21" s="1"/>
  <c r="M77" i="21" s="1"/>
  <c r="M78" i="21" s="1"/>
  <c r="M79" i="21" s="1"/>
  <c r="M80" i="21" s="1"/>
  <c r="M81" i="21" s="1"/>
  <c r="M82" i="21" s="1"/>
  <c r="N82" i="21" s="1"/>
  <c r="L75" i="21"/>
  <c r="L76" i="21" s="1"/>
  <c r="L77" i="21" s="1"/>
  <c r="L78" i="21" s="1"/>
  <c r="L79" i="21" s="1"/>
  <c r="L80" i="21" s="1"/>
  <c r="L81" i="21" s="1"/>
  <c r="L82" i="21" s="1"/>
  <c r="M52" i="18"/>
  <c r="M53" i="18" s="1"/>
  <c r="L53" i="18"/>
  <c r="L50" i="18"/>
  <c r="L51" i="18"/>
  <c r="L52" i="18" s="1"/>
  <c r="N50" i="17"/>
  <c r="N51" i="17"/>
  <c r="N52" i="17"/>
  <c r="N53" i="17"/>
  <c r="M50" i="17"/>
  <c r="M51" i="17" s="1"/>
  <c r="M52" i="17" s="1"/>
  <c r="M53" i="17" s="1"/>
  <c r="L50" i="17"/>
  <c r="L51" i="17" s="1"/>
  <c r="L52" i="17" s="1"/>
  <c r="L53" i="17" s="1"/>
  <c r="M51" i="14"/>
  <c r="M52" i="14" s="1"/>
  <c r="M53" i="14" s="1"/>
  <c r="L51" i="14"/>
  <c r="L52" i="14" s="1"/>
  <c r="L53" i="14" s="1"/>
  <c r="O79" i="12"/>
  <c r="O80" i="12" s="1"/>
  <c r="O81" i="12" s="1"/>
  <c r="O82" i="12" s="1"/>
  <c r="O83" i="12" s="1"/>
  <c r="O84" i="12" s="1"/>
  <c r="O85" i="12" s="1"/>
  <c r="N79" i="12"/>
  <c r="N80" i="12"/>
  <c r="N81" i="12"/>
  <c r="N82" i="12"/>
  <c r="N83" i="12"/>
  <c r="N84" i="12"/>
  <c r="N85" i="12"/>
  <c r="M79" i="12"/>
  <c r="M80" i="12"/>
  <c r="M81" i="12"/>
  <c r="M82" i="12"/>
  <c r="M83" i="12"/>
  <c r="M84" i="12"/>
  <c r="M85" i="12" s="1"/>
  <c r="L79" i="12"/>
  <c r="L80" i="12"/>
  <c r="L81" i="12"/>
  <c r="L82" i="12"/>
  <c r="L83" i="12"/>
  <c r="L84" i="12"/>
  <c r="L85" i="12"/>
  <c r="L25" i="11"/>
  <c r="N51" i="9"/>
  <c r="N52" i="9" s="1"/>
  <c r="N53" i="9" s="1"/>
  <c r="M51" i="9"/>
  <c r="M52" i="9" s="1"/>
  <c r="M53" i="9" s="1"/>
  <c r="M10" i="4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9" i="4"/>
  <c r="M8" i="4"/>
  <c r="L37" i="4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23" i="4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9" i="4"/>
  <c r="L8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N50" i="3"/>
  <c r="N51" i="3"/>
  <c r="N52" i="3"/>
  <c r="M50" i="3"/>
  <c r="M51" i="3"/>
  <c r="M52" i="3"/>
  <c r="M53" i="3" s="1"/>
  <c r="N53" i="3" s="1"/>
  <c r="L50" i="3"/>
  <c r="L51" i="3"/>
  <c r="L52" i="3" s="1"/>
  <c r="L53" i="3" s="1"/>
  <c r="L46" i="27" l="1"/>
  <c r="L47" i="27" s="1"/>
  <c r="L48" i="27" s="1"/>
  <c r="M46" i="27"/>
  <c r="M47" i="27" s="1"/>
  <c r="M48" i="27" s="1"/>
  <c r="F52" i="32"/>
  <c r="F53" i="53"/>
  <c r="E53" i="53"/>
  <c r="F52" i="53"/>
  <c r="E52" i="53"/>
  <c r="F51" i="53"/>
  <c r="E51" i="53"/>
  <c r="F50" i="53"/>
  <c r="E50" i="53"/>
  <c r="F49" i="53"/>
  <c r="E49" i="53"/>
  <c r="F48" i="53"/>
  <c r="E48" i="53"/>
  <c r="F47" i="53"/>
  <c r="E47" i="53"/>
  <c r="F46" i="53"/>
  <c r="E46" i="53"/>
  <c r="F45" i="53"/>
  <c r="E45" i="53"/>
  <c r="F44" i="53"/>
  <c r="E44" i="53"/>
  <c r="F43" i="53"/>
  <c r="E43" i="53"/>
  <c r="F42" i="53"/>
  <c r="E42" i="53"/>
  <c r="F41" i="53"/>
  <c r="E41" i="53"/>
  <c r="F40" i="53"/>
  <c r="E40" i="53"/>
  <c r="F39" i="53"/>
  <c r="E39" i="53"/>
  <c r="F38" i="53"/>
  <c r="E38" i="53"/>
  <c r="F37" i="53"/>
  <c r="E37" i="53"/>
  <c r="F36" i="53"/>
  <c r="E36" i="53"/>
  <c r="F35" i="53"/>
  <c r="E35" i="53"/>
  <c r="F34" i="53"/>
  <c r="E34" i="53"/>
  <c r="F33" i="53"/>
  <c r="E33" i="53"/>
  <c r="F32" i="53"/>
  <c r="E32" i="53"/>
  <c r="F31" i="53"/>
  <c r="E31" i="53"/>
  <c r="F30" i="53"/>
  <c r="E30" i="53"/>
  <c r="F29" i="53"/>
  <c r="E29" i="53"/>
  <c r="F28" i="53"/>
  <c r="E28" i="53"/>
  <c r="F27" i="53"/>
  <c r="E27" i="53"/>
  <c r="F26" i="53"/>
  <c r="E26" i="53"/>
  <c r="F25" i="53"/>
  <c r="E25" i="53"/>
  <c r="F24" i="53"/>
  <c r="E24" i="53"/>
  <c r="F23" i="53"/>
  <c r="E23" i="53"/>
  <c r="F22" i="53"/>
  <c r="E22" i="53"/>
  <c r="F21" i="53"/>
  <c r="E21" i="53"/>
  <c r="F20" i="53"/>
  <c r="E20" i="53"/>
  <c r="F19" i="53"/>
  <c r="E19" i="53"/>
  <c r="F18" i="53"/>
  <c r="E18" i="53"/>
  <c r="F17" i="53"/>
  <c r="E17" i="53"/>
  <c r="F16" i="53"/>
  <c r="E16" i="53"/>
  <c r="F15" i="53"/>
  <c r="E15" i="53"/>
  <c r="F14" i="53"/>
  <c r="E14" i="53"/>
  <c r="F13" i="53"/>
  <c r="E13" i="53"/>
  <c r="F12" i="53"/>
  <c r="E12" i="53"/>
  <c r="F11" i="53"/>
  <c r="E11" i="53"/>
  <c r="F10" i="53"/>
  <c r="E10" i="53"/>
  <c r="F9" i="53"/>
  <c r="E9" i="53"/>
  <c r="U8" i="53"/>
  <c r="S8" i="53"/>
  <c r="O8" i="53"/>
  <c r="O9" i="53"/>
  <c r="O10" i="53" s="1"/>
  <c r="O11" i="53" s="1"/>
  <c r="O12" i="53" s="1"/>
  <c r="O13" i="53"/>
  <c r="O14" i="53" s="1"/>
  <c r="O15" i="53" s="1"/>
  <c r="O16" i="53" s="1"/>
  <c r="O17" i="53" s="1"/>
  <c r="O18" i="53" s="1"/>
  <c r="O19" i="53" s="1"/>
  <c r="O20" i="53" s="1"/>
  <c r="O21" i="53" s="1"/>
  <c r="O22" i="53" s="1"/>
  <c r="O23" i="53" s="1"/>
  <c r="O24" i="53" s="1"/>
  <c r="O25" i="53" s="1"/>
  <c r="O26" i="53" s="1"/>
  <c r="O27" i="53" s="1"/>
  <c r="O28" i="53" s="1"/>
  <c r="O29" i="53" s="1"/>
  <c r="O30" i="53" s="1"/>
  <c r="O31" i="53" s="1"/>
  <c r="O32" i="53" s="1"/>
  <c r="O33" i="53" s="1"/>
  <c r="O34" i="53" s="1"/>
  <c r="O35" i="53" s="1"/>
  <c r="O36" i="53" s="1"/>
  <c r="O37" i="53" s="1"/>
  <c r="O38" i="53" s="1"/>
  <c r="O39" i="53" s="1"/>
  <c r="O40" i="53" s="1"/>
  <c r="O41" i="53" s="1"/>
  <c r="O42" i="53" s="1"/>
  <c r="O43" i="53" s="1"/>
  <c r="F8" i="53"/>
  <c r="L8" i="53"/>
  <c r="L9" i="53"/>
  <c r="L10" i="53" s="1"/>
  <c r="L11" i="53" s="1"/>
  <c r="L12" i="53" s="1"/>
  <c r="L13" i="53" s="1"/>
  <c r="L14" i="53" s="1"/>
  <c r="L15" i="53" s="1"/>
  <c r="L16" i="53" s="1"/>
  <c r="L17" i="53" s="1"/>
  <c r="L18" i="53" s="1"/>
  <c r="L19" i="53" s="1"/>
  <c r="L20" i="53" s="1"/>
  <c r="L21" i="53" s="1"/>
  <c r="L22" i="53" s="1"/>
  <c r="L23" i="53" s="1"/>
  <c r="E8" i="53"/>
  <c r="F53" i="52"/>
  <c r="E53" i="52"/>
  <c r="F52" i="52"/>
  <c r="E52" i="52"/>
  <c r="F51" i="52"/>
  <c r="E51" i="52"/>
  <c r="F50" i="52"/>
  <c r="E50" i="52"/>
  <c r="F49" i="52"/>
  <c r="E49" i="52"/>
  <c r="F48" i="52"/>
  <c r="E48" i="52"/>
  <c r="F47" i="52"/>
  <c r="E47" i="52"/>
  <c r="F46" i="52"/>
  <c r="E46" i="52"/>
  <c r="F45" i="52"/>
  <c r="E45" i="52"/>
  <c r="F44" i="52"/>
  <c r="E44" i="52"/>
  <c r="F43" i="52"/>
  <c r="E43" i="52"/>
  <c r="F42" i="52"/>
  <c r="E42" i="52"/>
  <c r="F41" i="52"/>
  <c r="E41" i="52"/>
  <c r="F40" i="52"/>
  <c r="E40" i="52"/>
  <c r="F39" i="52"/>
  <c r="E39" i="52"/>
  <c r="F38" i="52"/>
  <c r="E38" i="52"/>
  <c r="F37" i="52"/>
  <c r="E37" i="52"/>
  <c r="F36" i="52"/>
  <c r="E36" i="52"/>
  <c r="F35" i="52"/>
  <c r="E35" i="52"/>
  <c r="F34" i="52"/>
  <c r="E34" i="52"/>
  <c r="F33" i="52"/>
  <c r="E33" i="52"/>
  <c r="F32" i="52"/>
  <c r="E32" i="52"/>
  <c r="F31" i="52"/>
  <c r="E31" i="52"/>
  <c r="F30" i="52"/>
  <c r="E30" i="52"/>
  <c r="F29" i="52"/>
  <c r="E29" i="52"/>
  <c r="F28" i="52"/>
  <c r="E28" i="52"/>
  <c r="F27" i="52"/>
  <c r="E27" i="52"/>
  <c r="F26" i="52"/>
  <c r="E26" i="52"/>
  <c r="F25" i="52"/>
  <c r="E25" i="52"/>
  <c r="F24" i="52"/>
  <c r="E24" i="52"/>
  <c r="F23" i="52"/>
  <c r="E23" i="52"/>
  <c r="F22" i="52"/>
  <c r="E22" i="52"/>
  <c r="F21" i="52"/>
  <c r="E21" i="52"/>
  <c r="F20" i="52"/>
  <c r="E20" i="52"/>
  <c r="F19" i="52"/>
  <c r="E19" i="52"/>
  <c r="F18" i="52"/>
  <c r="E18" i="52"/>
  <c r="F17" i="52"/>
  <c r="E17" i="52"/>
  <c r="F16" i="52"/>
  <c r="E16" i="52"/>
  <c r="F15" i="52"/>
  <c r="E15" i="52"/>
  <c r="F14" i="52"/>
  <c r="E14" i="52"/>
  <c r="F13" i="52"/>
  <c r="E13" i="52"/>
  <c r="F12" i="52"/>
  <c r="E12" i="52"/>
  <c r="F11" i="52"/>
  <c r="E11" i="52"/>
  <c r="F10" i="52"/>
  <c r="E10" i="52"/>
  <c r="F9" i="52"/>
  <c r="E9" i="52"/>
  <c r="U8" i="52"/>
  <c r="S8" i="52"/>
  <c r="O8" i="52"/>
  <c r="O9" i="52"/>
  <c r="O10" i="52"/>
  <c r="O11" i="52" s="1"/>
  <c r="O12" i="52" s="1"/>
  <c r="O13" i="52" s="1"/>
  <c r="O14" i="52" s="1"/>
  <c r="O15" i="52"/>
  <c r="O16" i="52" s="1"/>
  <c r="O17" i="52" s="1"/>
  <c r="O18" i="52" s="1"/>
  <c r="O19" i="52" s="1"/>
  <c r="O20" i="52" s="1"/>
  <c r="O21" i="52" s="1"/>
  <c r="O22" i="52" s="1"/>
  <c r="O23" i="52" s="1"/>
  <c r="O24" i="52" s="1"/>
  <c r="O25" i="52" s="1"/>
  <c r="O26" i="52" s="1"/>
  <c r="O27" i="52" s="1"/>
  <c r="O28" i="52" s="1"/>
  <c r="O29" i="52" s="1"/>
  <c r="O30" i="52" s="1"/>
  <c r="O31" i="52" s="1"/>
  <c r="O32" i="52" s="1"/>
  <c r="O33" i="52" s="1"/>
  <c r="O34" i="52" s="1"/>
  <c r="O35" i="52" s="1"/>
  <c r="O36" i="52" s="1"/>
  <c r="O37" i="52" s="1"/>
  <c r="O38" i="52" s="1"/>
  <c r="O39" i="52" s="1"/>
  <c r="O40" i="52" s="1"/>
  <c r="O41" i="52" s="1"/>
  <c r="O42" i="52" s="1"/>
  <c r="O43" i="52" s="1"/>
  <c r="F8" i="52"/>
  <c r="E8" i="52"/>
  <c r="F53" i="51"/>
  <c r="E53" i="51"/>
  <c r="F52" i="51"/>
  <c r="E52" i="51"/>
  <c r="F51" i="51"/>
  <c r="E51" i="51"/>
  <c r="F50" i="51"/>
  <c r="E50" i="51"/>
  <c r="F49" i="51"/>
  <c r="E49" i="51"/>
  <c r="F48" i="51"/>
  <c r="E48" i="51"/>
  <c r="F47" i="51"/>
  <c r="E47" i="51"/>
  <c r="F46" i="51"/>
  <c r="E46" i="51"/>
  <c r="F45" i="51"/>
  <c r="E45" i="51"/>
  <c r="F44" i="51"/>
  <c r="E44" i="51"/>
  <c r="F43" i="51"/>
  <c r="E43" i="51"/>
  <c r="F42" i="51"/>
  <c r="E42" i="51"/>
  <c r="F41" i="51"/>
  <c r="E41" i="51"/>
  <c r="F40" i="51"/>
  <c r="E40" i="51"/>
  <c r="F39" i="51"/>
  <c r="E39" i="51"/>
  <c r="F38" i="51"/>
  <c r="E38" i="51"/>
  <c r="F37" i="51"/>
  <c r="E37" i="51"/>
  <c r="F36" i="51"/>
  <c r="E36" i="51"/>
  <c r="F35" i="51"/>
  <c r="E35" i="51"/>
  <c r="F34" i="51"/>
  <c r="E34" i="51"/>
  <c r="F33" i="51"/>
  <c r="E33" i="51"/>
  <c r="F32" i="51"/>
  <c r="E32" i="51"/>
  <c r="F31" i="51"/>
  <c r="E31" i="51"/>
  <c r="F30" i="51"/>
  <c r="E30" i="51"/>
  <c r="F29" i="51"/>
  <c r="E29" i="51"/>
  <c r="F28" i="51"/>
  <c r="E28" i="51"/>
  <c r="F27" i="51"/>
  <c r="E27" i="51"/>
  <c r="F26" i="51"/>
  <c r="E26" i="51"/>
  <c r="F25" i="51"/>
  <c r="E25" i="51"/>
  <c r="F24" i="51"/>
  <c r="E24" i="51"/>
  <c r="F23" i="51"/>
  <c r="E23" i="51"/>
  <c r="F22" i="51"/>
  <c r="E22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F12" i="51"/>
  <c r="E12" i="51"/>
  <c r="F11" i="51"/>
  <c r="E11" i="51"/>
  <c r="F10" i="51"/>
  <c r="E10" i="51"/>
  <c r="F9" i="51"/>
  <c r="E9" i="51"/>
  <c r="U8" i="51"/>
  <c r="S8" i="51"/>
  <c r="R8" i="51"/>
  <c r="T8" i="51"/>
  <c r="O8" i="51"/>
  <c r="O9" i="51"/>
  <c r="O10" i="51" s="1"/>
  <c r="O11" i="51" s="1"/>
  <c r="O12" i="51"/>
  <c r="O13" i="51"/>
  <c r="O14" i="51" s="1"/>
  <c r="O15" i="51" s="1"/>
  <c r="O16" i="51" s="1"/>
  <c r="O17" i="51" s="1"/>
  <c r="O18" i="51" s="1"/>
  <c r="O19" i="51" s="1"/>
  <c r="O20" i="51" s="1"/>
  <c r="O21" i="51" s="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O33" i="51" s="1"/>
  <c r="O34" i="51" s="1"/>
  <c r="O35" i="51" s="1"/>
  <c r="O36" i="51" s="1"/>
  <c r="O37" i="51" s="1"/>
  <c r="O38" i="51" s="1"/>
  <c r="O39" i="51" s="1"/>
  <c r="O40" i="51" s="1"/>
  <c r="O41" i="51" s="1"/>
  <c r="O42" i="51" s="1"/>
  <c r="O43" i="51" s="1"/>
  <c r="F8" i="51"/>
  <c r="L8" i="51" s="1"/>
  <c r="E8" i="51"/>
  <c r="F53" i="50"/>
  <c r="E53" i="50"/>
  <c r="F52" i="50"/>
  <c r="E52" i="50"/>
  <c r="F51" i="50"/>
  <c r="E51" i="50"/>
  <c r="F50" i="50"/>
  <c r="E50" i="50"/>
  <c r="F49" i="50"/>
  <c r="E49" i="50"/>
  <c r="F48" i="50"/>
  <c r="E48" i="50"/>
  <c r="F47" i="50"/>
  <c r="E47" i="50"/>
  <c r="F46" i="50"/>
  <c r="E46" i="50"/>
  <c r="F45" i="50"/>
  <c r="E45" i="50"/>
  <c r="F44" i="50"/>
  <c r="E44" i="50"/>
  <c r="F43" i="50"/>
  <c r="E43" i="50"/>
  <c r="F42" i="50"/>
  <c r="E42" i="50"/>
  <c r="F41" i="50"/>
  <c r="E41" i="50"/>
  <c r="F40" i="50"/>
  <c r="E40" i="50"/>
  <c r="F39" i="50"/>
  <c r="E39" i="50"/>
  <c r="F38" i="50"/>
  <c r="E38" i="50"/>
  <c r="F37" i="50"/>
  <c r="E37" i="50"/>
  <c r="F36" i="50"/>
  <c r="E36" i="50"/>
  <c r="F35" i="50"/>
  <c r="E35" i="50"/>
  <c r="F34" i="50"/>
  <c r="E34" i="50"/>
  <c r="F33" i="50"/>
  <c r="E33" i="50"/>
  <c r="F32" i="50"/>
  <c r="E32" i="50"/>
  <c r="F31" i="50"/>
  <c r="E31" i="50"/>
  <c r="F30" i="50"/>
  <c r="E30" i="50"/>
  <c r="F29" i="50"/>
  <c r="E29" i="50"/>
  <c r="F28" i="50"/>
  <c r="E28" i="50"/>
  <c r="F27" i="50"/>
  <c r="E27" i="50"/>
  <c r="F26" i="50"/>
  <c r="E26" i="50"/>
  <c r="F25" i="50"/>
  <c r="E25" i="50"/>
  <c r="F24" i="50"/>
  <c r="E24" i="50"/>
  <c r="F23" i="50"/>
  <c r="E23" i="50"/>
  <c r="F22" i="50"/>
  <c r="E22" i="50"/>
  <c r="F21" i="50"/>
  <c r="E21" i="50"/>
  <c r="F20" i="50"/>
  <c r="E20" i="50"/>
  <c r="F19" i="50"/>
  <c r="E19" i="50"/>
  <c r="F18" i="50"/>
  <c r="E18" i="50"/>
  <c r="F17" i="50"/>
  <c r="E17" i="50"/>
  <c r="F16" i="50"/>
  <c r="E16" i="50"/>
  <c r="F15" i="50"/>
  <c r="E15" i="50"/>
  <c r="F14" i="50"/>
  <c r="E14" i="50"/>
  <c r="F13" i="50"/>
  <c r="E13" i="50"/>
  <c r="F12" i="50"/>
  <c r="E12" i="50"/>
  <c r="F11" i="50"/>
  <c r="E11" i="50"/>
  <c r="F10" i="50"/>
  <c r="E10" i="50"/>
  <c r="F9" i="50"/>
  <c r="E9" i="50"/>
  <c r="U8" i="50"/>
  <c r="S8" i="50"/>
  <c r="O8" i="50"/>
  <c r="O9" i="50"/>
  <c r="O10" i="50" s="1"/>
  <c r="O11" i="50" s="1"/>
  <c r="O12" i="50" s="1"/>
  <c r="O13" i="50" s="1"/>
  <c r="O14" i="50" s="1"/>
  <c r="O15" i="50" s="1"/>
  <c r="O16" i="50" s="1"/>
  <c r="O17" i="50" s="1"/>
  <c r="O18" i="50" s="1"/>
  <c r="O19" i="50" s="1"/>
  <c r="O20" i="50" s="1"/>
  <c r="O21" i="50" s="1"/>
  <c r="O22" i="50" s="1"/>
  <c r="O23" i="50" s="1"/>
  <c r="O24" i="50" s="1"/>
  <c r="O25" i="50" s="1"/>
  <c r="O26" i="50" s="1"/>
  <c r="O27" i="50" s="1"/>
  <c r="O28" i="50" s="1"/>
  <c r="O29" i="50" s="1"/>
  <c r="O30" i="50" s="1"/>
  <c r="O31" i="50" s="1"/>
  <c r="O32" i="50" s="1"/>
  <c r="O33" i="50" s="1"/>
  <c r="O34" i="50" s="1"/>
  <c r="O35" i="50" s="1"/>
  <c r="O36" i="50" s="1"/>
  <c r="O37" i="50" s="1"/>
  <c r="O38" i="50" s="1"/>
  <c r="O39" i="50" s="1"/>
  <c r="O40" i="50" s="1"/>
  <c r="O41" i="50" s="1"/>
  <c r="O42" i="50" s="1"/>
  <c r="O43" i="50" s="1"/>
  <c r="F8" i="50"/>
  <c r="L8" i="50" s="1"/>
  <c r="E8" i="50"/>
  <c r="F53" i="49"/>
  <c r="E53" i="49"/>
  <c r="F52" i="49"/>
  <c r="E52" i="49"/>
  <c r="F51" i="49"/>
  <c r="E51" i="49"/>
  <c r="F50" i="49"/>
  <c r="E50" i="49"/>
  <c r="F49" i="49"/>
  <c r="E49" i="49"/>
  <c r="F48" i="49"/>
  <c r="E48" i="49"/>
  <c r="F47" i="49"/>
  <c r="E47" i="49"/>
  <c r="F46" i="49"/>
  <c r="E46" i="49"/>
  <c r="F45" i="49"/>
  <c r="E45" i="49"/>
  <c r="F44" i="49"/>
  <c r="E44" i="49"/>
  <c r="F43" i="49"/>
  <c r="E43" i="49"/>
  <c r="F42" i="49"/>
  <c r="E42" i="49"/>
  <c r="F41" i="49"/>
  <c r="E41" i="49"/>
  <c r="F40" i="49"/>
  <c r="E40" i="49"/>
  <c r="F39" i="49"/>
  <c r="E39" i="49"/>
  <c r="F38" i="49"/>
  <c r="E38" i="49"/>
  <c r="F37" i="49"/>
  <c r="E37" i="49"/>
  <c r="F36" i="49"/>
  <c r="E36" i="49"/>
  <c r="F35" i="49"/>
  <c r="E35" i="49"/>
  <c r="F34" i="49"/>
  <c r="E34" i="49"/>
  <c r="F33" i="49"/>
  <c r="E33" i="49"/>
  <c r="F32" i="49"/>
  <c r="E32" i="49"/>
  <c r="F31" i="49"/>
  <c r="E31" i="49"/>
  <c r="F30" i="49"/>
  <c r="E30" i="49"/>
  <c r="F29" i="49"/>
  <c r="E29" i="49"/>
  <c r="F28" i="49"/>
  <c r="E28" i="49"/>
  <c r="F27" i="49"/>
  <c r="E27" i="49"/>
  <c r="F26" i="49"/>
  <c r="E26" i="49"/>
  <c r="F25" i="49"/>
  <c r="E25" i="49"/>
  <c r="F24" i="49"/>
  <c r="E24" i="49"/>
  <c r="F23" i="49"/>
  <c r="E23" i="49"/>
  <c r="F22" i="49"/>
  <c r="E22" i="49"/>
  <c r="F21" i="49"/>
  <c r="E21" i="49"/>
  <c r="F20" i="49"/>
  <c r="E20" i="49"/>
  <c r="F19" i="49"/>
  <c r="E19" i="49"/>
  <c r="F18" i="49"/>
  <c r="E18" i="49"/>
  <c r="F17" i="49"/>
  <c r="E17" i="49"/>
  <c r="F16" i="49"/>
  <c r="E16" i="49"/>
  <c r="F15" i="49"/>
  <c r="E15" i="49"/>
  <c r="F14" i="49"/>
  <c r="E14" i="49"/>
  <c r="F13" i="49"/>
  <c r="E13" i="49"/>
  <c r="F12" i="49"/>
  <c r="E12" i="49"/>
  <c r="F11" i="49"/>
  <c r="E11" i="49"/>
  <c r="F10" i="49"/>
  <c r="E10" i="49"/>
  <c r="F9" i="49"/>
  <c r="E9" i="49"/>
  <c r="U8" i="49"/>
  <c r="S8" i="49"/>
  <c r="O8" i="49"/>
  <c r="O9" i="49" s="1"/>
  <c r="O10" i="49" s="1"/>
  <c r="O11" i="49" s="1"/>
  <c r="O12" i="49" s="1"/>
  <c r="O13" i="49" s="1"/>
  <c r="O14" i="49" s="1"/>
  <c r="O15" i="49" s="1"/>
  <c r="O16" i="49" s="1"/>
  <c r="O17" i="49" s="1"/>
  <c r="O18" i="49" s="1"/>
  <c r="O19" i="49" s="1"/>
  <c r="O20" i="49" s="1"/>
  <c r="O21" i="49" s="1"/>
  <c r="O22" i="49" s="1"/>
  <c r="O23" i="49" s="1"/>
  <c r="O24" i="49" s="1"/>
  <c r="O25" i="49" s="1"/>
  <c r="O26" i="49" s="1"/>
  <c r="O27" i="49" s="1"/>
  <c r="O28" i="49" s="1"/>
  <c r="O29" i="49" s="1"/>
  <c r="O30" i="49" s="1"/>
  <c r="O31" i="49" s="1"/>
  <c r="O32" i="49" s="1"/>
  <c r="O33" i="49" s="1"/>
  <c r="O34" i="49" s="1"/>
  <c r="O35" i="49" s="1"/>
  <c r="O36" i="49" s="1"/>
  <c r="O37" i="49" s="1"/>
  <c r="O38" i="49" s="1"/>
  <c r="O39" i="49" s="1"/>
  <c r="O40" i="49" s="1"/>
  <c r="O41" i="49" s="1"/>
  <c r="O42" i="49" s="1"/>
  <c r="O43" i="49" s="1"/>
  <c r="F8" i="49"/>
  <c r="L8" i="49"/>
  <c r="L9" i="49" s="1"/>
  <c r="L10" i="49" s="1"/>
  <c r="M8" i="49"/>
  <c r="M9" i="49" s="1"/>
  <c r="M10" i="49" s="1"/>
  <c r="N8" i="49"/>
  <c r="E8" i="49"/>
  <c r="F62" i="25"/>
  <c r="F61" i="25"/>
  <c r="F60" i="25"/>
  <c r="F59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43" i="25"/>
  <c r="F42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F55" i="44"/>
  <c r="E56" i="44"/>
  <c r="E55" i="44"/>
  <c r="F53" i="3"/>
  <c r="F52" i="3"/>
  <c r="F51" i="3"/>
  <c r="E53" i="3"/>
  <c r="E52" i="3"/>
  <c r="E51" i="3"/>
  <c r="F54" i="44"/>
  <c r="F53" i="44"/>
  <c r="F52" i="44"/>
  <c r="F51" i="44"/>
  <c r="F50" i="44"/>
  <c r="F49" i="44"/>
  <c r="F48" i="44"/>
  <c r="F47" i="44"/>
  <c r="F46" i="44"/>
  <c r="F45" i="44"/>
  <c r="F44" i="44"/>
  <c r="E54" i="44"/>
  <c r="E53" i="44"/>
  <c r="E52" i="44"/>
  <c r="E51" i="44"/>
  <c r="E50" i="44"/>
  <c r="E49" i="44"/>
  <c r="E48" i="44"/>
  <c r="E47" i="44"/>
  <c r="E46" i="44"/>
  <c r="E45" i="44"/>
  <c r="E44" i="44"/>
  <c r="E58" i="42"/>
  <c r="E57" i="42"/>
  <c r="E56" i="42"/>
  <c r="E55" i="42"/>
  <c r="E54" i="42"/>
  <c r="E53" i="42"/>
  <c r="E52" i="42"/>
  <c r="E51" i="42"/>
  <c r="E50" i="42"/>
  <c r="E49" i="42"/>
  <c r="E48" i="42"/>
  <c r="E47" i="42"/>
  <c r="E46" i="42"/>
  <c r="E45" i="42"/>
  <c r="E44" i="42"/>
  <c r="E43" i="42"/>
  <c r="F53" i="41"/>
  <c r="F52" i="41"/>
  <c r="F51" i="41"/>
  <c r="F50" i="41"/>
  <c r="F49" i="41"/>
  <c r="F48" i="41"/>
  <c r="F47" i="41"/>
  <c r="F46" i="41"/>
  <c r="F45" i="41"/>
  <c r="F44" i="41"/>
  <c r="E53" i="41"/>
  <c r="E52" i="41"/>
  <c r="E51" i="41"/>
  <c r="E50" i="41"/>
  <c r="E49" i="41"/>
  <c r="E48" i="41"/>
  <c r="E47" i="41"/>
  <c r="E46" i="41"/>
  <c r="E45" i="41"/>
  <c r="E44" i="41"/>
  <c r="F53" i="39"/>
  <c r="F52" i="39"/>
  <c r="F51" i="39"/>
  <c r="F50" i="39"/>
  <c r="F49" i="39"/>
  <c r="F48" i="39"/>
  <c r="F47" i="39"/>
  <c r="F46" i="39"/>
  <c r="F45" i="39"/>
  <c r="F44" i="39"/>
  <c r="E52" i="39"/>
  <c r="E51" i="39"/>
  <c r="E50" i="39"/>
  <c r="E49" i="39"/>
  <c r="E48" i="39"/>
  <c r="E47" i="39"/>
  <c r="E46" i="39"/>
  <c r="E45" i="39"/>
  <c r="E44" i="39"/>
  <c r="F53" i="36"/>
  <c r="F52" i="36"/>
  <c r="F51" i="36"/>
  <c r="F50" i="36"/>
  <c r="F49" i="36"/>
  <c r="F48" i="36"/>
  <c r="F47" i="36"/>
  <c r="F46" i="36"/>
  <c r="L46" i="36" s="1"/>
  <c r="L47" i="36" s="1"/>
  <c r="L48" i="36" s="1"/>
  <c r="L49" i="36" s="1"/>
  <c r="L50" i="36" s="1"/>
  <c r="L51" i="36" s="1"/>
  <c r="L52" i="36" s="1"/>
  <c r="L53" i="36" s="1"/>
  <c r="F45" i="36"/>
  <c r="F44" i="36"/>
  <c r="F43" i="36"/>
  <c r="F42" i="36"/>
  <c r="F41" i="36"/>
  <c r="E53" i="36"/>
  <c r="E52" i="36"/>
  <c r="E51" i="36"/>
  <c r="E50" i="36"/>
  <c r="E49" i="36"/>
  <c r="E48" i="36"/>
  <c r="E47" i="36"/>
  <c r="E43" i="36"/>
  <c r="E49" i="35"/>
  <c r="E60" i="35"/>
  <c r="E59" i="35"/>
  <c r="E58" i="35"/>
  <c r="E57" i="35"/>
  <c r="E56" i="35"/>
  <c r="E55" i="35"/>
  <c r="E54" i="35"/>
  <c r="E53" i="35"/>
  <c r="E52" i="35"/>
  <c r="E51" i="35"/>
  <c r="E50" i="35"/>
  <c r="E48" i="35"/>
  <c r="E47" i="35"/>
  <c r="E46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E66" i="34"/>
  <c r="E65" i="34"/>
  <c r="E64" i="34"/>
  <c r="E63" i="34"/>
  <c r="E62" i="34"/>
  <c r="E61" i="34"/>
  <c r="E60" i="34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E53" i="33"/>
  <c r="E52" i="33"/>
  <c r="E51" i="33"/>
  <c r="E50" i="33"/>
  <c r="E49" i="33"/>
  <c r="E48" i="33"/>
  <c r="E47" i="33"/>
  <c r="E46" i="33"/>
  <c r="E45" i="33"/>
  <c r="F51" i="32"/>
  <c r="F50" i="32"/>
  <c r="F49" i="32"/>
  <c r="F48" i="32"/>
  <c r="F47" i="32"/>
  <c r="F46" i="32"/>
  <c r="F45" i="32"/>
  <c r="F44" i="32"/>
  <c r="F43" i="32"/>
  <c r="F42" i="32"/>
  <c r="F41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F52" i="31"/>
  <c r="F51" i="31"/>
  <c r="F50" i="31"/>
  <c r="F49" i="31"/>
  <c r="F48" i="31"/>
  <c r="F47" i="31"/>
  <c r="F46" i="31"/>
  <c r="F45" i="31"/>
  <c r="F44" i="31"/>
  <c r="E52" i="31"/>
  <c r="E51" i="31"/>
  <c r="E50" i="31"/>
  <c r="E49" i="31"/>
  <c r="E48" i="31"/>
  <c r="E47" i="31"/>
  <c r="E46" i="31"/>
  <c r="E45" i="31"/>
  <c r="E44" i="31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53" i="28"/>
  <c r="F52" i="28"/>
  <c r="F51" i="28"/>
  <c r="F47" i="28"/>
  <c r="F50" i="28"/>
  <c r="F48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L8" i="28" s="1"/>
  <c r="E53" i="28"/>
  <c r="E52" i="28"/>
  <c r="E51" i="28"/>
  <c r="E50" i="28"/>
  <c r="E49" i="28"/>
  <c r="E48" i="28"/>
  <c r="E47" i="28"/>
  <c r="E46" i="28"/>
  <c r="E54" i="26"/>
  <c r="F54" i="26"/>
  <c r="F53" i="26"/>
  <c r="F52" i="26"/>
  <c r="F51" i="26"/>
  <c r="F50" i="26"/>
  <c r="F49" i="26"/>
  <c r="F48" i="26"/>
  <c r="F47" i="26"/>
  <c r="F46" i="26"/>
  <c r="E53" i="26"/>
  <c r="E52" i="26"/>
  <c r="E51" i="26"/>
  <c r="E50" i="26"/>
  <c r="E49" i="26"/>
  <c r="E48" i="26"/>
  <c r="E47" i="26"/>
  <c r="F53" i="23"/>
  <c r="F52" i="23"/>
  <c r="F51" i="23"/>
  <c r="F50" i="23"/>
  <c r="F49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F82" i="21"/>
  <c r="E82" i="21"/>
  <c r="F81" i="21"/>
  <c r="E81" i="21"/>
  <c r="F80" i="21"/>
  <c r="E80" i="21"/>
  <c r="F79" i="21"/>
  <c r="E79" i="21"/>
  <c r="F78" i="21"/>
  <c r="E78" i="21"/>
  <c r="F77" i="21"/>
  <c r="E77" i="21"/>
  <c r="F53" i="18"/>
  <c r="F52" i="18"/>
  <c r="F51" i="18"/>
  <c r="F50" i="18"/>
  <c r="F85" i="12"/>
  <c r="F84" i="12"/>
  <c r="E85" i="12"/>
  <c r="E84" i="12"/>
  <c r="F53" i="4"/>
  <c r="F52" i="4"/>
  <c r="F51" i="4"/>
  <c r="F50" i="4"/>
  <c r="F49" i="4"/>
  <c r="F48" i="4"/>
  <c r="F47" i="4"/>
  <c r="M8" i="53"/>
  <c r="M9" i="53" s="1"/>
  <c r="N9" i="53" s="1"/>
  <c r="F43" i="31"/>
  <c r="F42" i="31"/>
  <c r="F45" i="29"/>
  <c r="F44" i="29"/>
  <c r="F43" i="29"/>
  <c r="F42" i="29"/>
  <c r="F41" i="29"/>
  <c r="F45" i="26"/>
  <c r="F44" i="26"/>
  <c r="F43" i="26"/>
  <c r="F42" i="26"/>
  <c r="F48" i="23"/>
  <c r="F47" i="23"/>
  <c r="F46" i="23"/>
  <c r="F45" i="23"/>
  <c r="F44" i="23"/>
  <c r="F43" i="23"/>
  <c r="F42" i="23"/>
  <c r="F41" i="23"/>
  <c r="F76" i="21"/>
  <c r="F75" i="21"/>
  <c r="F74" i="21"/>
  <c r="F73" i="21"/>
  <c r="F72" i="21"/>
  <c r="F71" i="21"/>
  <c r="F70" i="21"/>
  <c r="F69" i="21"/>
  <c r="F68" i="21"/>
  <c r="F67" i="21"/>
  <c r="E76" i="21"/>
  <c r="E75" i="21"/>
  <c r="E74" i="21"/>
  <c r="E73" i="21"/>
  <c r="E72" i="21"/>
  <c r="E71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L8" i="18" s="1"/>
  <c r="F53" i="17"/>
  <c r="F52" i="17"/>
  <c r="F51" i="17"/>
  <c r="F50" i="17"/>
  <c r="F49" i="17"/>
  <c r="F48" i="17"/>
  <c r="F53" i="14"/>
  <c r="F52" i="14"/>
  <c r="F51" i="14"/>
  <c r="F50" i="14"/>
  <c r="F49" i="14"/>
  <c r="F48" i="14"/>
  <c r="F83" i="12"/>
  <c r="E83" i="12"/>
  <c r="F82" i="12"/>
  <c r="E82" i="12"/>
  <c r="F81" i="12"/>
  <c r="E81" i="12"/>
  <c r="F80" i="12"/>
  <c r="E80" i="12"/>
  <c r="F79" i="12"/>
  <c r="E79" i="12"/>
  <c r="F78" i="12"/>
  <c r="E78" i="12"/>
  <c r="F77" i="12"/>
  <c r="E77" i="12"/>
  <c r="F76" i="12"/>
  <c r="E76" i="12"/>
  <c r="F75" i="12"/>
  <c r="E75" i="12"/>
  <c r="F74" i="12"/>
  <c r="E74" i="12"/>
  <c r="F73" i="12"/>
  <c r="E73" i="12"/>
  <c r="F72" i="12"/>
  <c r="E72" i="12"/>
  <c r="F71" i="12"/>
  <c r="E71" i="12"/>
  <c r="F67" i="12"/>
  <c r="F53" i="9"/>
  <c r="E53" i="9"/>
  <c r="F52" i="9"/>
  <c r="E52" i="9"/>
  <c r="F51" i="9"/>
  <c r="E51" i="9"/>
  <c r="F50" i="9"/>
  <c r="E50" i="9"/>
  <c r="F49" i="9"/>
  <c r="E49" i="9"/>
  <c r="F48" i="9"/>
  <c r="E48" i="9"/>
  <c r="F46" i="4"/>
  <c r="F45" i="4"/>
  <c r="F44" i="4"/>
  <c r="F43" i="4"/>
  <c r="F42" i="4"/>
  <c r="F41" i="4"/>
  <c r="F40" i="4"/>
  <c r="F39" i="4"/>
  <c r="F38" i="4"/>
  <c r="F37" i="4"/>
  <c r="D37" i="4"/>
  <c r="D36" i="4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O8" i="21"/>
  <c r="O9" i="21" s="1"/>
  <c r="O10" i="21" s="1"/>
  <c r="O11" i="21" s="1"/>
  <c r="O12" i="21" s="1"/>
  <c r="O13" i="21" s="1"/>
  <c r="O14" i="21" s="1"/>
  <c r="O15" i="21" s="1"/>
  <c r="O16" i="21"/>
  <c r="O17" i="21" s="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O29" i="21" s="1"/>
  <c r="O30" i="21" s="1"/>
  <c r="O31" i="21" s="1"/>
  <c r="O32" i="21" s="1"/>
  <c r="O33" i="21" s="1"/>
  <c r="O34" i="21" s="1"/>
  <c r="O35" i="21" s="1"/>
  <c r="O36" i="21" s="1"/>
  <c r="O37" i="21" s="1"/>
  <c r="O38" i="21" s="1"/>
  <c r="O39" i="21" s="1"/>
  <c r="O40" i="21" s="1"/>
  <c r="O41" i="21" s="1"/>
  <c r="O42" i="21" s="1"/>
  <c r="O43" i="21" s="1"/>
  <c r="O44" i="21" s="1"/>
  <c r="O45" i="21" s="1"/>
  <c r="O46" i="21" s="1"/>
  <c r="O47" i="21" s="1"/>
  <c r="O48" i="21" s="1"/>
  <c r="O49" i="21" s="1"/>
  <c r="O50" i="21" s="1"/>
  <c r="O51" i="21" s="1"/>
  <c r="O52" i="21" s="1"/>
  <c r="O53" i="21" s="1"/>
  <c r="O54" i="21" s="1"/>
  <c r="O55" i="21" s="1"/>
  <c r="O56" i="21" s="1"/>
  <c r="O57" i="21" s="1"/>
  <c r="O58" i="21" s="1"/>
  <c r="O59" i="21" s="1"/>
  <c r="O60" i="21" s="1"/>
  <c r="O61" i="21" s="1"/>
  <c r="O62" i="21" s="1"/>
  <c r="O63" i="21" s="1"/>
  <c r="O64" i="21" s="1"/>
  <c r="O65" i="21" s="1"/>
  <c r="O66" i="21" s="1"/>
  <c r="O67" i="21" s="1"/>
  <c r="O68" i="21" s="1"/>
  <c r="O69" i="21" s="1"/>
  <c r="O70" i="21" s="1"/>
  <c r="O71" i="21" s="1"/>
  <c r="O72" i="21" s="1"/>
  <c r="O73" i="21" s="1"/>
  <c r="O74" i="21" s="1"/>
  <c r="S8" i="21"/>
  <c r="U8" i="21"/>
  <c r="E34" i="21"/>
  <c r="E44" i="21"/>
  <c r="E43" i="21"/>
  <c r="E42" i="21"/>
  <c r="E41" i="21"/>
  <c r="E40" i="21"/>
  <c r="E39" i="21"/>
  <c r="E38" i="21"/>
  <c r="E37" i="21"/>
  <c r="E36" i="21"/>
  <c r="E35" i="21"/>
  <c r="E33" i="21"/>
  <c r="E32" i="21"/>
  <c r="E31" i="21"/>
  <c r="F27" i="21"/>
  <c r="E27" i="21"/>
  <c r="F32" i="21"/>
  <c r="F31" i="21"/>
  <c r="F30" i="21"/>
  <c r="F29" i="21"/>
  <c r="F28" i="21"/>
  <c r="F26" i="21"/>
  <c r="F25" i="21"/>
  <c r="E30" i="21"/>
  <c r="E29" i="21"/>
  <c r="E28" i="21"/>
  <c r="E26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L9" i="21" s="1"/>
  <c r="L10" i="21" s="1"/>
  <c r="L11" i="21" s="1"/>
  <c r="L12" i="21" s="1"/>
  <c r="L13" i="21" s="1"/>
  <c r="L14" i="21" s="1"/>
  <c r="L15" i="21" s="1"/>
  <c r="L16" i="21" s="1"/>
  <c r="F8" i="21"/>
  <c r="E25" i="21"/>
  <c r="E24" i="21"/>
  <c r="E23" i="21"/>
  <c r="O8" i="18"/>
  <c r="O9" i="18" s="1"/>
  <c r="O10" i="18" s="1"/>
  <c r="O11" i="18" s="1"/>
  <c r="O12" i="18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S8" i="18"/>
  <c r="U8" i="18"/>
  <c r="F70" i="12"/>
  <c r="F69" i="12"/>
  <c r="F68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7" i="12"/>
  <c r="E47" i="12"/>
  <c r="F48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L8" i="12"/>
  <c r="E33" i="12"/>
  <c r="S8" i="12"/>
  <c r="U8" i="12"/>
  <c r="E31" i="12"/>
  <c r="O8" i="12"/>
  <c r="O9" i="12" s="1"/>
  <c r="O10" i="12" s="1"/>
  <c r="O11" i="12" s="1"/>
  <c r="O12" i="12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4" i="12" s="1"/>
  <c r="O35" i="12" s="1"/>
  <c r="O36" i="12" s="1"/>
  <c r="O37" i="12" s="1"/>
  <c r="O38" i="12" s="1"/>
  <c r="O39" i="12" s="1"/>
  <c r="O40" i="12" s="1"/>
  <c r="O41" i="12" s="1"/>
  <c r="O42" i="12" s="1"/>
  <c r="O43" i="12" s="1"/>
  <c r="O44" i="12" s="1"/>
  <c r="O45" i="12" s="1"/>
  <c r="O46" i="12" s="1"/>
  <c r="O47" i="12" s="1"/>
  <c r="O48" i="12" s="1"/>
  <c r="O49" i="12" s="1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O68" i="12" s="1"/>
  <c r="O69" i="12" s="1"/>
  <c r="O70" i="12" s="1"/>
  <c r="O71" i="12" s="1"/>
  <c r="O72" i="12" s="1"/>
  <c r="O73" i="12" s="1"/>
  <c r="O74" i="12" s="1"/>
  <c r="O75" i="12" s="1"/>
  <c r="O76" i="12" s="1"/>
  <c r="O77" i="12" s="1"/>
  <c r="O78" i="12" s="1"/>
  <c r="F43" i="44"/>
  <c r="E43" i="44"/>
  <c r="F42" i="44"/>
  <c r="E42" i="44"/>
  <c r="F41" i="44"/>
  <c r="E41" i="44"/>
  <c r="F40" i="44"/>
  <c r="E40" i="44"/>
  <c r="F39" i="44"/>
  <c r="E39" i="44"/>
  <c r="F38" i="44"/>
  <c r="E38" i="44"/>
  <c r="F37" i="44"/>
  <c r="E37" i="44"/>
  <c r="F36" i="44"/>
  <c r="E36" i="44"/>
  <c r="F35" i="44"/>
  <c r="E35" i="44"/>
  <c r="F34" i="44"/>
  <c r="E34" i="44"/>
  <c r="F33" i="44"/>
  <c r="E33" i="44"/>
  <c r="F32" i="44"/>
  <c r="E32" i="44"/>
  <c r="F31" i="44"/>
  <c r="E31" i="44"/>
  <c r="F30" i="44"/>
  <c r="E30" i="44"/>
  <c r="F29" i="44"/>
  <c r="E29" i="44"/>
  <c r="F28" i="44"/>
  <c r="E28" i="44"/>
  <c r="F27" i="44"/>
  <c r="E27" i="44"/>
  <c r="F26" i="44"/>
  <c r="E26" i="44"/>
  <c r="F25" i="44"/>
  <c r="E25" i="44"/>
  <c r="F24" i="44"/>
  <c r="E24" i="44"/>
  <c r="F23" i="44"/>
  <c r="E23" i="44"/>
  <c r="F22" i="44"/>
  <c r="E22" i="44"/>
  <c r="F21" i="44"/>
  <c r="E21" i="44"/>
  <c r="F20" i="44"/>
  <c r="E20" i="44"/>
  <c r="F19" i="44"/>
  <c r="E19" i="44"/>
  <c r="F18" i="44"/>
  <c r="E18" i="44"/>
  <c r="F17" i="44"/>
  <c r="E17" i="44"/>
  <c r="F16" i="44"/>
  <c r="E16" i="44"/>
  <c r="F15" i="44"/>
  <c r="E15" i="44"/>
  <c r="F14" i="44"/>
  <c r="E14" i="44"/>
  <c r="F13" i="44"/>
  <c r="E13" i="44"/>
  <c r="F12" i="44"/>
  <c r="E12" i="44"/>
  <c r="F11" i="44"/>
  <c r="E11" i="44"/>
  <c r="F10" i="44"/>
  <c r="E10" i="44"/>
  <c r="F9" i="44"/>
  <c r="E9" i="44"/>
  <c r="U8" i="44"/>
  <c r="S8" i="44"/>
  <c r="O8" i="44"/>
  <c r="O9" i="44" s="1"/>
  <c r="O10" i="44" s="1"/>
  <c r="O11" i="44" s="1"/>
  <c r="O12" i="44" s="1"/>
  <c r="O13" i="44"/>
  <c r="O14" i="44"/>
  <c r="O15" i="44" s="1"/>
  <c r="O16" i="44" s="1"/>
  <c r="O17" i="44" s="1"/>
  <c r="O18" i="44" s="1"/>
  <c r="O19" i="44" s="1"/>
  <c r="O20" i="44" s="1"/>
  <c r="O21" i="44" s="1"/>
  <c r="O22" i="44" s="1"/>
  <c r="O23" i="44" s="1"/>
  <c r="O24" i="44" s="1"/>
  <c r="O25" i="44" s="1"/>
  <c r="O26" i="44" s="1"/>
  <c r="O27" i="44" s="1"/>
  <c r="O28" i="44" s="1"/>
  <c r="O29" i="44" s="1"/>
  <c r="O30" i="44" s="1"/>
  <c r="O31" i="44" s="1"/>
  <c r="O32" i="44" s="1"/>
  <c r="O33" i="44" s="1"/>
  <c r="O34" i="44" s="1"/>
  <c r="O35" i="44" s="1"/>
  <c r="O36" i="44" s="1"/>
  <c r="O37" i="44" s="1"/>
  <c r="O38" i="44" s="1"/>
  <c r="O39" i="44" s="1"/>
  <c r="O40" i="44" s="1"/>
  <c r="O41" i="44" s="1"/>
  <c r="O42" i="44" s="1"/>
  <c r="O43" i="44" s="1"/>
  <c r="F8" i="44"/>
  <c r="L8" i="44"/>
  <c r="M8" i="44" s="1"/>
  <c r="E8" i="44"/>
  <c r="F43" i="43"/>
  <c r="E43" i="43"/>
  <c r="F42" i="43"/>
  <c r="E42" i="43"/>
  <c r="F41" i="43"/>
  <c r="E41" i="43"/>
  <c r="F40" i="43"/>
  <c r="E40" i="43"/>
  <c r="F39" i="43"/>
  <c r="E39" i="43"/>
  <c r="F38" i="43"/>
  <c r="E38" i="43"/>
  <c r="F37" i="43"/>
  <c r="E37" i="43"/>
  <c r="F36" i="43"/>
  <c r="E36" i="43"/>
  <c r="F35" i="43"/>
  <c r="E35" i="43"/>
  <c r="F34" i="43"/>
  <c r="E34" i="43"/>
  <c r="F33" i="43"/>
  <c r="E33" i="43"/>
  <c r="F32" i="43"/>
  <c r="E32" i="43"/>
  <c r="F31" i="43"/>
  <c r="E31" i="43"/>
  <c r="F30" i="43"/>
  <c r="E30" i="43"/>
  <c r="F29" i="43"/>
  <c r="E29" i="43"/>
  <c r="F28" i="43"/>
  <c r="E28" i="43"/>
  <c r="F27" i="43"/>
  <c r="E27" i="43"/>
  <c r="F26" i="43"/>
  <c r="E26" i="43"/>
  <c r="F25" i="43"/>
  <c r="E25" i="43"/>
  <c r="F24" i="43"/>
  <c r="E24" i="43"/>
  <c r="F23" i="43"/>
  <c r="E23" i="43"/>
  <c r="F22" i="43"/>
  <c r="E22" i="43"/>
  <c r="F21" i="43"/>
  <c r="E21" i="43"/>
  <c r="F20" i="43"/>
  <c r="E20" i="43"/>
  <c r="F19" i="43"/>
  <c r="E19" i="43"/>
  <c r="F18" i="43"/>
  <c r="E18" i="43"/>
  <c r="F17" i="43"/>
  <c r="E17" i="43"/>
  <c r="F16" i="43"/>
  <c r="E16" i="43"/>
  <c r="F15" i="43"/>
  <c r="E15" i="43"/>
  <c r="F14" i="43"/>
  <c r="E14" i="43"/>
  <c r="F13" i="43"/>
  <c r="E13" i="43"/>
  <c r="F12" i="43"/>
  <c r="E12" i="43"/>
  <c r="F11" i="43"/>
  <c r="E11" i="43"/>
  <c r="F10" i="43"/>
  <c r="E10" i="43"/>
  <c r="F9" i="43"/>
  <c r="R8" i="43" s="1"/>
  <c r="E9" i="43"/>
  <c r="U8" i="43"/>
  <c r="S8" i="43"/>
  <c r="O8" i="43"/>
  <c r="O9" i="43"/>
  <c r="O10" i="43" s="1"/>
  <c r="O11" i="43" s="1"/>
  <c r="O12" i="43" s="1"/>
  <c r="O13" i="43"/>
  <c r="O14" i="43"/>
  <c r="O15" i="43" s="1"/>
  <c r="O16" i="43" s="1"/>
  <c r="O17" i="43" s="1"/>
  <c r="O18" i="43" s="1"/>
  <c r="O19" i="43" s="1"/>
  <c r="O20" i="43" s="1"/>
  <c r="O21" i="43" s="1"/>
  <c r="O22" i="43" s="1"/>
  <c r="O23" i="43" s="1"/>
  <c r="O24" i="43" s="1"/>
  <c r="O25" i="43" s="1"/>
  <c r="O26" i="43" s="1"/>
  <c r="O27" i="43" s="1"/>
  <c r="O28" i="43" s="1"/>
  <c r="O29" i="43" s="1"/>
  <c r="O30" i="43" s="1"/>
  <c r="O31" i="43" s="1"/>
  <c r="O32" i="43" s="1"/>
  <c r="O33" i="43" s="1"/>
  <c r="O34" i="43" s="1"/>
  <c r="O35" i="43" s="1"/>
  <c r="O36" i="43" s="1"/>
  <c r="O37" i="43" s="1"/>
  <c r="O38" i="43" s="1"/>
  <c r="O39" i="43" s="1"/>
  <c r="O40" i="43" s="1"/>
  <c r="F8" i="43"/>
  <c r="L8" i="43" s="1"/>
  <c r="M8" i="43" s="1"/>
  <c r="M9" i="43" s="1"/>
  <c r="M10" i="43"/>
  <c r="N10" i="43" s="1"/>
  <c r="E8" i="43"/>
  <c r="F42" i="42"/>
  <c r="E42" i="42"/>
  <c r="F41" i="42"/>
  <c r="E41" i="42"/>
  <c r="F40" i="42"/>
  <c r="E40" i="42"/>
  <c r="F39" i="42"/>
  <c r="E39" i="42"/>
  <c r="F38" i="42"/>
  <c r="E38" i="42"/>
  <c r="F37" i="42"/>
  <c r="E37" i="42"/>
  <c r="F36" i="42"/>
  <c r="E36" i="42"/>
  <c r="F35" i="42"/>
  <c r="E35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E26" i="42"/>
  <c r="F25" i="42"/>
  <c r="E25" i="42"/>
  <c r="F24" i="42"/>
  <c r="E24" i="42"/>
  <c r="F23" i="42"/>
  <c r="E23" i="42"/>
  <c r="F22" i="42"/>
  <c r="E22" i="42"/>
  <c r="F21" i="42"/>
  <c r="E21" i="42"/>
  <c r="F20" i="42"/>
  <c r="E20" i="42"/>
  <c r="F19" i="42"/>
  <c r="E19" i="42"/>
  <c r="F18" i="42"/>
  <c r="E18" i="42"/>
  <c r="F17" i="42"/>
  <c r="E17" i="42"/>
  <c r="F16" i="42"/>
  <c r="E16" i="42"/>
  <c r="F15" i="42"/>
  <c r="E15" i="42"/>
  <c r="F14" i="42"/>
  <c r="E14" i="42"/>
  <c r="F13" i="42"/>
  <c r="E13" i="42"/>
  <c r="F12" i="42"/>
  <c r="E12" i="42"/>
  <c r="F11" i="42"/>
  <c r="E11" i="42"/>
  <c r="F10" i="42"/>
  <c r="E10" i="42"/>
  <c r="F9" i="42"/>
  <c r="E9" i="42"/>
  <c r="U8" i="42"/>
  <c r="S8" i="42"/>
  <c r="O8" i="42"/>
  <c r="O9" i="42" s="1"/>
  <c r="O10" i="42" s="1"/>
  <c r="O11" i="42" s="1"/>
  <c r="O12" i="42" s="1"/>
  <c r="O13" i="42" s="1"/>
  <c r="O14" i="42" s="1"/>
  <c r="O15" i="42" s="1"/>
  <c r="O16" i="42" s="1"/>
  <c r="O17" i="42" s="1"/>
  <c r="O18" i="42" s="1"/>
  <c r="O19" i="42" s="1"/>
  <c r="O20" i="42" s="1"/>
  <c r="O21" i="42" s="1"/>
  <c r="O22" i="42" s="1"/>
  <c r="O23" i="42" s="1"/>
  <c r="O24" i="42" s="1"/>
  <c r="O25" i="42" s="1"/>
  <c r="O26" i="42" s="1"/>
  <c r="O27" i="42" s="1"/>
  <c r="O28" i="42" s="1"/>
  <c r="O29" i="42" s="1"/>
  <c r="O30" i="42" s="1"/>
  <c r="O31" i="42" s="1"/>
  <c r="O32" i="42" s="1"/>
  <c r="O33" i="42" s="1"/>
  <c r="O34" i="42" s="1"/>
  <c r="O35" i="42" s="1"/>
  <c r="O36" i="42" s="1"/>
  <c r="O37" i="42" s="1"/>
  <c r="O38" i="42" s="1"/>
  <c r="O39" i="42" s="1"/>
  <c r="O40" i="42" s="1"/>
  <c r="O41" i="42" s="1"/>
  <c r="O42" i="42" s="1"/>
  <c r="F8" i="42"/>
  <c r="L8" i="42"/>
  <c r="E8" i="42"/>
  <c r="F43" i="41"/>
  <c r="E43" i="41"/>
  <c r="F42" i="41"/>
  <c r="E42" i="41"/>
  <c r="F41" i="41"/>
  <c r="E41" i="41"/>
  <c r="F40" i="41"/>
  <c r="E40" i="41"/>
  <c r="F39" i="41"/>
  <c r="E39" i="41"/>
  <c r="F38" i="41"/>
  <c r="E38" i="41"/>
  <c r="F37" i="41"/>
  <c r="E37" i="41"/>
  <c r="F36" i="41"/>
  <c r="E36" i="41"/>
  <c r="F35" i="41"/>
  <c r="E35" i="41"/>
  <c r="F34" i="41"/>
  <c r="E34" i="41"/>
  <c r="F33" i="41"/>
  <c r="E33" i="41"/>
  <c r="F32" i="41"/>
  <c r="E32" i="41"/>
  <c r="F31" i="41"/>
  <c r="E31" i="41"/>
  <c r="F30" i="41"/>
  <c r="E30" i="41"/>
  <c r="F29" i="41"/>
  <c r="E29" i="41"/>
  <c r="F28" i="41"/>
  <c r="E28" i="41"/>
  <c r="F27" i="41"/>
  <c r="E27" i="41"/>
  <c r="F26" i="41"/>
  <c r="E26" i="41"/>
  <c r="F25" i="41"/>
  <c r="E25" i="41"/>
  <c r="F24" i="41"/>
  <c r="E24" i="41"/>
  <c r="F23" i="41"/>
  <c r="E23" i="41"/>
  <c r="F22" i="41"/>
  <c r="E22" i="41"/>
  <c r="F21" i="41"/>
  <c r="E21" i="41"/>
  <c r="F20" i="41"/>
  <c r="E20" i="41"/>
  <c r="F19" i="41"/>
  <c r="E19" i="41"/>
  <c r="F18" i="41"/>
  <c r="E18" i="41"/>
  <c r="F17" i="41"/>
  <c r="E17" i="41"/>
  <c r="F16" i="41"/>
  <c r="E16" i="41"/>
  <c r="F15" i="41"/>
  <c r="E15" i="41"/>
  <c r="F14" i="41"/>
  <c r="E14" i="41"/>
  <c r="F13" i="41"/>
  <c r="E13" i="41"/>
  <c r="F12" i="41"/>
  <c r="E12" i="41"/>
  <c r="F11" i="41"/>
  <c r="E11" i="41"/>
  <c r="F10" i="41"/>
  <c r="E10" i="41"/>
  <c r="F9" i="41"/>
  <c r="E9" i="41"/>
  <c r="U8" i="41"/>
  <c r="S8" i="41"/>
  <c r="O8" i="41"/>
  <c r="O9" i="41" s="1"/>
  <c r="O10" i="41" s="1"/>
  <c r="O11" i="41" s="1"/>
  <c r="O12" i="41" s="1"/>
  <c r="O13" i="41" s="1"/>
  <c r="O14" i="41" s="1"/>
  <c r="O15" i="41" s="1"/>
  <c r="O16" i="41"/>
  <c r="O17" i="41"/>
  <c r="O18" i="41"/>
  <c r="O19" i="41" s="1"/>
  <c r="O20" i="41"/>
  <c r="O21" i="41" s="1"/>
  <c r="O22" i="41" s="1"/>
  <c r="O23" i="41" s="1"/>
  <c r="O24" i="41" s="1"/>
  <c r="O25" i="41" s="1"/>
  <c r="O26" i="41" s="1"/>
  <c r="O27" i="41" s="1"/>
  <c r="O28" i="41" s="1"/>
  <c r="O29" i="41" s="1"/>
  <c r="O30" i="41" s="1"/>
  <c r="O31" i="41" s="1"/>
  <c r="O32" i="41" s="1"/>
  <c r="O33" i="41" s="1"/>
  <c r="O34" i="41" s="1"/>
  <c r="O35" i="41" s="1"/>
  <c r="O36" i="41" s="1"/>
  <c r="O37" i="41" s="1"/>
  <c r="O38" i="41" s="1"/>
  <c r="O39" i="41" s="1"/>
  <c r="O40" i="41" s="1"/>
  <c r="O41" i="41" s="1"/>
  <c r="O42" i="41" s="1"/>
  <c r="O43" i="41" s="1"/>
  <c r="O44" i="41" s="1"/>
  <c r="O45" i="41" s="1"/>
  <c r="O46" i="41" s="1"/>
  <c r="O47" i="41" s="1"/>
  <c r="O48" i="41" s="1"/>
  <c r="O49" i="41" s="1"/>
  <c r="O50" i="41" s="1"/>
  <c r="O51" i="41" s="1"/>
  <c r="O52" i="41" s="1"/>
  <c r="O53" i="41" s="1"/>
  <c r="F8" i="41"/>
  <c r="L8" i="41" s="1"/>
  <c r="M8" i="41" s="1"/>
  <c r="N8" i="41" s="1"/>
  <c r="E8" i="41"/>
  <c r="F43" i="40"/>
  <c r="E43" i="40"/>
  <c r="F42" i="40"/>
  <c r="E42" i="40"/>
  <c r="F41" i="40"/>
  <c r="E41" i="40"/>
  <c r="F40" i="40"/>
  <c r="E40" i="40"/>
  <c r="F39" i="40"/>
  <c r="E39" i="40"/>
  <c r="F38" i="40"/>
  <c r="E38" i="40"/>
  <c r="F37" i="40"/>
  <c r="E37" i="40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U8" i="40"/>
  <c r="S8" i="40"/>
  <c r="O8" i="40"/>
  <c r="O9" i="40" s="1"/>
  <c r="O10" i="40" s="1"/>
  <c r="O11" i="40" s="1"/>
  <c r="O12" i="40" s="1"/>
  <c r="O13" i="40" s="1"/>
  <c r="O14" i="40" s="1"/>
  <c r="O15" i="40"/>
  <c r="O16" i="40" s="1"/>
  <c r="O17" i="40" s="1"/>
  <c r="O18" i="40" s="1"/>
  <c r="O19" i="40" s="1"/>
  <c r="O20" i="40" s="1"/>
  <c r="O21" i="40" s="1"/>
  <c r="O22" i="40" s="1"/>
  <c r="O23" i="40" s="1"/>
  <c r="O24" i="40" s="1"/>
  <c r="O25" i="40" s="1"/>
  <c r="O26" i="40" s="1"/>
  <c r="O27" i="40" s="1"/>
  <c r="O28" i="40" s="1"/>
  <c r="O29" i="40" s="1"/>
  <c r="O30" i="40" s="1"/>
  <c r="O31" i="40" s="1"/>
  <c r="O32" i="40" s="1"/>
  <c r="O33" i="40" s="1"/>
  <c r="O34" i="40" s="1"/>
  <c r="O35" i="40" s="1"/>
  <c r="O36" i="40" s="1"/>
  <c r="O37" i="40" s="1"/>
  <c r="O38" i="40" s="1"/>
  <c r="O39" i="40" s="1"/>
  <c r="F8" i="40"/>
  <c r="L8" i="40" s="1"/>
  <c r="L9" i="40" s="1"/>
  <c r="E8" i="40"/>
  <c r="F43" i="39"/>
  <c r="E43" i="39"/>
  <c r="F42" i="39"/>
  <c r="E42" i="39"/>
  <c r="F41" i="39"/>
  <c r="E41" i="39"/>
  <c r="F40" i="39"/>
  <c r="E40" i="39"/>
  <c r="F39" i="39"/>
  <c r="E39" i="39"/>
  <c r="F38" i="39"/>
  <c r="E38" i="39"/>
  <c r="F37" i="39"/>
  <c r="E37" i="39"/>
  <c r="F36" i="39"/>
  <c r="E36" i="39"/>
  <c r="F35" i="39"/>
  <c r="E35" i="39"/>
  <c r="F34" i="39"/>
  <c r="E34" i="39"/>
  <c r="F33" i="39"/>
  <c r="E33" i="39"/>
  <c r="F32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E10" i="39"/>
  <c r="F9" i="39"/>
  <c r="E9" i="39"/>
  <c r="U8" i="39"/>
  <c r="S8" i="39"/>
  <c r="O8" i="39"/>
  <c r="O9" i="39"/>
  <c r="O10" i="39"/>
  <c r="O11" i="39"/>
  <c r="O12" i="39" s="1"/>
  <c r="O13" i="39" s="1"/>
  <c r="O14" i="39" s="1"/>
  <c r="O15" i="39" s="1"/>
  <c r="O16" i="39" s="1"/>
  <c r="O17" i="39" s="1"/>
  <c r="O18" i="39" s="1"/>
  <c r="O19" i="39"/>
  <c r="O20" i="39"/>
  <c r="O21" i="39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O40" i="39" s="1"/>
  <c r="O41" i="39" s="1"/>
  <c r="O42" i="39" s="1"/>
  <c r="O43" i="39" s="1"/>
  <c r="F8" i="39"/>
  <c r="E8" i="39"/>
  <c r="F42" i="38"/>
  <c r="F41" i="38"/>
  <c r="F40" i="38"/>
  <c r="U8" i="38"/>
  <c r="S8" i="38"/>
  <c r="E42" i="38"/>
  <c r="E41" i="38"/>
  <c r="E40" i="38"/>
  <c r="F39" i="38"/>
  <c r="E39" i="38"/>
  <c r="F37" i="38"/>
  <c r="E37" i="38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F12" i="38"/>
  <c r="E12" i="38"/>
  <c r="F11" i="38"/>
  <c r="E11" i="38"/>
  <c r="F10" i="38"/>
  <c r="E10" i="38"/>
  <c r="F9" i="38"/>
  <c r="E9" i="38"/>
  <c r="O8" i="38"/>
  <c r="O9" i="38"/>
  <c r="O10" i="38" s="1"/>
  <c r="O11" i="38" s="1"/>
  <c r="O12" i="38"/>
  <c r="O13" i="38"/>
  <c r="O14" i="38" s="1"/>
  <c r="O15" i="38" s="1"/>
  <c r="O16" i="38" s="1"/>
  <c r="O17" i="38" s="1"/>
  <c r="O18" i="38" s="1"/>
  <c r="O19" i="38" s="1"/>
  <c r="O20" i="38" s="1"/>
  <c r="O21" i="38" s="1"/>
  <c r="O22" i="38" s="1"/>
  <c r="O23" i="38" s="1"/>
  <c r="O24" i="38" s="1"/>
  <c r="O25" i="38" s="1"/>
  <c r="O26" i="38" s="1"/>
  <c r="O27" i="38" s="1"/>
  <c r="O28" i="38" s="1"/>
  <c r="O29" i="38" s="1"/>
  <c r="O30" i="38" s="1"/>
  <c r="O31" i="38" s="1"/>
  <c r="O32" i="38" s="1"/>
  <c r="O33" i="38" s="1"/>
  <c r="O34" i="38" s="1"/>
  <c r="O35" i="38" s="1"/>
  <c r="O36" i="38" s="1"/>
  <c r="O37" i="38" s="1"/>
  <c r="O38" i="38" s="1"/>
  <c r="O39" i="38" s="1"/>
  <c r="O40" i="38" s="1"/>
  <c r="O41" i="38" s="1"/>
  <c r="O42" i="38" s="1"/>
  <c r="F8" i="38"/>
  <c r="E8" i="38"/>
  <c r="E45" i="37"/>
  <c r="E44" i="37"/>
  <c r="E43" i="37"/>
  <c r="E42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F32" i="37"/>
  <c r="E32" i="37"/>
  <c r="F31" i="37"/>
  <c r="E31" i="37"/>
  <c r="F30" i="37"/>
  <c r="E30" i="37"/>
  <c r="F29" i="37"/>
  <c r="E29" i="37"/>
  <c r="F28" i="37"/>
  <c r="E28" i="37"/>
  <c r="F27" i="37"/>
  <c r="E27" i="37"/>
  <c r="F26" i="37"/>
  <c r="E26" i="37"/>
  <c r="F25" i="37"/>
  <c r="E25" i="37"/>
  <c r="F24" i="37"/>
  <c r="E24" i="37"/>
  <c r="F23" i="37"/>
  <c r="E23" i="37"/>
  <c r="F22" i="37"/>
  <c r="E22" i="37"/>
  <c r="F21" i="37"/>
  <c r="E21" i="37"/>
  <c r="F20" i="37"/>
  <c r="E20" i="37"/>
  <c r="F19" i="37"/>
  <c r="E19" i="37"/>
  <c r="F18" i="37"/>
  <c r="E18" i="37"/>
  <c r="F17" i="37"/>
  <c r="E17" i="37"/>
  <c r="F16" i="37"/>
  <c r="E16" i="37"/>
  <c r="F15" i="37"/>
  <c r="E15" i="37"/>
  <c r="F14" i="37"/>
  <c r="E14" i="37"/>
  <c r="F13" i="37"/>
  <c r="E13" i="37"/>
  <c r="F12" i="37"/>
  <c r="E12" i="37"/>
  <c r="F11" i="37"/>
  <c r="E11" i="37"/>
  <c r="F10" i="37"/>
  <c r="E10" i="37"/>
  <c r="F9" i="37"/>
  <c r="E9" i="37"/>
  <c r="U8" i="37"/>
  <c r="S8" i="37"/>
  <c r="O8" i="37"/>
  <c r="O9" i="37"/>
  <c r="O10" i="37"/>
  <c r="O11" i="37"/>
  <c r="O12" i="37" s="1"/>
  <c r="O13" i="37"/>
  <c r="O14" i="37" s="1"/>
  <c r="O15" i="37" s="1"/>
  <c r="O16" i="37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O27" i="37" s="1"/>
  <c r="O28" i="37" s="1"/>
  <c r="O29" i="37" s="1"/>
  <c r="O30" i="37" s="1"/>
  <c r="O31" i="37" s="1"/>
  <c r="O32" i="37" s="1"/>
  <c r="O33" i="37" s="1"/>
  <c r="O34" i="37" s="1"/>
  <c r="O35" i="37" s="1"/>
  <c r="O36" i="37" s="1"/>
  <c r="O37" i="37" s="1"/>
  <c r="O38" i="37" s="1"/>
  <c r="O39" i="37" s="1"/>
  <c r="O40" i="37" s="1"/>
  <c r="O41" i="37" s="1"/>
  <c r="O42" i="37" s="1"/>
  <c r="O43" i="37" s="1"/>
  <c r="O44" i="37" s="1"/>
  <c r="F8" i="37"/>
  <c r="L8" i="37" s="1"/>
  <c r="M8" i="37" s="1"/>
  <c r="M9" i="37"/>
  <c r="M10" i="37"/>
  <c r="N10" i="37" s="1"/>
  <c r="E8" i="37"/>
  <c r="E45" i="36"/>
  <c r="E44" i="36"/>
  <c r="E42" i="36"/>
  <c r="E41" i="36"/>
  <c r="F40" i="36"/>
  <c r="E40" i="36"/>
  <c r="F39" i="36"/>
  <c r="E39" i="36"/>
  <c r="F38" i="36"/>
  <c r="E38" i="36"/>
  <c r="F37" i="36"/>
  <c r="E37" i="36"/>
  <c r="F36" i="36"/>
  <c r="E36" i="36"/>
  <c r="F35" i="36"/>
  <c r="E35" i="36"/>
  <c r="F34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E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U8" i="36"/>
  <c r="S8" i="36"/>
  <c r="O8" i="36"/>
  <c r="O9" i="36" s="1"/>
  <c r="O10" i="36" s="1"/>
  <c r="O11" i="36" s="1"/>
  <c r="O12" i="36" s="1"/>
  <c r="O13" i="36" s="1"/>
  <c r="O14" i="36" s="1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O28" i="36" s="1"/>
  <c r="O29" i="36" s="1"/>
  <c r="O30" i="36" s="1"/>
  <c r="O31" i="36" s="1"/>
  <c r="O32" i="36" s="1"/>
  <c r="O33" i="36" s="1"/>
  <c r="O34" i="36" s="1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F8" i="36"/>
  <c r="L8" i="36" s="1"/>
  <c r="L9" i="36" s="1"/>
  <c r="L10" i="36"/>
  <c r="L11" i="36" s="1"/>
  <c r="L12" i="36" s="1"/>
  <c r="L13" i="36" s="1"/>
  <c r="E8" i="36"/>
  <c r="O8" i="35"/>
  <c r="O9" i="35"/>
  <c r="O10" i="35" s="1"/>
  <c r="O11" i="35" s="1"/>
  <c r="O12" i="35"/>
  <c r="O13" i="35"/>
  <c r="O14" i="35" s="1"/>
  <c r="O15" i="35" s="1"/>
  <c r="O16" i="35" s="1"/>
  <c r="O17" i="35" s="1"/>
  <c r="O18" i="35" s="1"/>
  <c r="O19" i="35" s="1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O40" i="35" s="1"/>
  <c r="O41" i="35" s="1"/>
  <c r="O42" i="35" s="1"/>
  <c r="O43" i="35" s="1"/>
  <c r="S8" i="35"/>
  <c r="U8" i="35"/>
  <c r="E45" i="35"/>
  <c r="E44" i="35"/>
  <c r="E43" i="35"/>
  <c r="E42" i="35"/>
  <c r="E41" i="35"/>
  <c r="F40" i="35"/>
  <c r="E40" i="35"/>
  <c r="F39" i="35"/>
  <c r="E39" i="35"/>
  <c r="F38" i="35"/>
  <c r="E38" i="35"/>
  <c r="F37" i="35"/>
  <c r="E37" i="35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F29" i="35"/>
  <c r="E29" i="35"/>
  <c r="F28" i="35"/>
  <c r="E28" i="35"/>
  <c r="F27" i="35"/>
  <c r="E27" i="35"/>
  <c r="F26" i="35"/>
  <c r="E26" i="35"/>
  <c r="F25" i="35"/>
  <c r="E25" i="35"/>
  <c r="F24" i="35"/>
  <c r="E24" i="35"/>
  <c r="F23" i="35"/>
  <c r="E23" i="35"/>
  <c r="F22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E8" i="9"/>
  <c r="P8" i="9"/>
  <c r="P9" i="9" s="1"/>
  <c r="P10" i="9" s="1"/>
  <c r="P11" i="9" s="1"/>
  <c r="P12" i="9" s="1"/>
  <c r="P13" i="9" s="1"/>
  <c r="P14" i="9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T8" i="9"/>
  <c r="V8" i="9"/>
  <c r="F41" i="31"/>
  <c r="E43" i="34"/>
  <c r="E42" i="34"/>
  <c r="E41" i="34"/>
  <c r="F40" i="34"/>
  <c r="E40" i="34"/>
  <c r="F39" i="34"/>
  <c r="E39" i="34"/>
  <c r="F38" i="34"/>
  <c r="E38" i="34"/>
  <c r="F37" i="34"/>
  <c r="E37" i="34"/>
  <c r="F36" i="34"/>
  <c r="E36" i="34"/>
  <c r="F35" i="34"/>
  <c r="E35" i="34"/>
  <c r="F34" i="34"/>
  <c r="E34" i="34"/>
  <c r="F33" i="34"/>
  <c r="E33" i="34"/>
  <c r="F32" i="34"/>
  <c r="E32" i="34"/>
  <c r="F31" i="34"/>
  <c r="E31" i="34"/>
  <c r="F30" i="34"/>
  <c r="E30" i="34"/>
  <c r="F29" i="34"/>
  <c r="E29" i="34"/>
  <c r="F28" i="34"/>
  <c r="E28" i="34"/>
  <c r="F27" i="34"/>
  <c r="E27" i="34"/>
  <c r="F26" i="34"/>
  <c r="E26" i="34"/>
  <c r="F25" i="34"/>
  <c r="E25" i="34"/>
  <c r="F24" i="34"/>
  <c r="E24" i="34"/>
  <c r="F23" i="34"/>
  <c r="E23" i="34"/>
  <c r="F22" i="34"/>
  <c r="E22" i="34"/>
  <c r="F21" i="34"/>
  <c r="E21" i="34"/>
  <c r="F20" i="34"/>
  <c r="E20" i="34"/>
  <c r="F19" i="34"/>
  <c r="E19" i="34"/>
  <c r="F18" i="34"/>
  <c r="E18" i="34"/>
  <c r="F17" i="34"/>
  <c r="E17" i="34"/>
  <c r="F16" i="34"/>
  <c r="E16" i="34"/>
  <c r="F15" i="34"/>
  <c r="E15" i="34"/>
  <c r="F14" i="34"/>
  <c r="E14" i="34"/>
  <c r="F13" i="34"/>
  <c r="E13" i="34"/>
  <c r="F12" i="34"/>
  <c r="E12" i="34"/>
  <c r="F11" i="34"/>
  <c r="E11" i="34"/>
  <c r="F10" i="34"/>
  <c r="E10" i="34"/>
  <c r="F9" i="34"/>
  <c r="E9" i="34"/>
  <c r="T8" i="34"/>
  <c r="R8" i="34"/>
  <c r="F8" i="34"/>
  <c r="Q8" i="34" s="1"/>
  <c r="S8" i="34" s="1"/>
  <c r="E8" i="34"/>
  <c r="E44" i="33"/>
  <c r="E43" i="33"/>
  <c r="E42" i="33"/>
  <c r="E41" i="33"/>
  <c r="F40" i="33"/>
  <c r="E40" i="33"/>
  <c r="F39" i="33"/>
  <c r="E39" i="33"/>
  <c r="F38" i="33"/>
  <c r="E38" i="33"/>
  <c r="F37" i="33"/>
  <c r="E37" i="33"/>
  <c r="F36" i="33"/>
  <c r="E36" i="33"/>
  <c r="F35" i="33"/>
  <c r="E35" i="33"/>
  <c r="F34" i="33"/>
  <c r="E34" i="33"/>
  <c r="F33" i="33"/>
  <c r="E33" i="33"/>
  <c r="F32" i="33"/>
  <c r="E32" i="33"/>
  <c r="F31" i="33"/>
  <c r="E31" i="33"/>
  <c r="F30" i="33"/>
  <c r="E30" i="33"/>
  <c r="F29" i="33"/>
  <c r="E29" i="33"/>
  <c r="F28" i="33"/>
  <c r="E28" i="33"/>
  <c r="F27" i="33"/>
  <c r="E27" i="33"/>
  <c r="F26" i="33"/>
  <c r="E26" i="33"/>
  <c r="F25" i="33"/>
  <c r="E25" i="33"/>
  <c r="F24" i="33"/>
  <c r="E24" i="33"/>
  <c r="F23" i="33"/>
  <c r="E23" i="33"/>
  <c r="F22" i="33"/>
  <c r="E22" i="33"/>
  <c r="F21" i="33"/>
  <c r="E21" i="33"/>
  <c r="F20" i="33"/>
  <c r="E20" i="33"/>
  <c r="F19" i="33"/>
  <c r="E19" i="33"/>
  <c r="F18" i="33"/>
  <c r="E18" i="33"/>
  <c r="F17" i="33"/>
  <c r="E17" i="33"/>
  <c r="F16" i="33"/>
  <c r="E16" i="33"/>
  <c r="F15" i="33"/>
  <c r="E15" i="33"/>
  <c r="F14" i="33"/>
  <c r="E14" i="33"/>
  <c r="F13" i="33"/>
  <c r="E13" i="33"/>
  <c r="F12" i="33"/>
  <c r="E12" i="33"/>
  <c r="F11" i="33"/>
  <c r="E11" i="33"/>
  <c r="F10" i="33"/>
  <c r="E10" i="33"/>
  <c r="F9" i="33"/>
  <c r="E9" i="33"/>
  <c r="T8" i="33"/>
  <c r="R8" i="33"/>
  <c r="F8" i="33"/>
  <c r="L8" i="33" s="1"/>
  <c r="L9" i="33" s="1"/>
  <c r="L10" i="33" s="1"/>
  <c r="E8" i="33"/>
  <c r="F40" i="32"/>
  <c r="E40" i="32"/>
  <c r="F39" i="32"/>
  <c r="E39" i="32"/>
  <c r="F38" i="32"/>
  <c r="E38" i="32"/>
  <c r="F37" i="32"/>
  <c r="E37" i="32"/>
  <c r="F36" i="32"/>
  <c r="E36" i="32"/>
  <c r="F35" i="32"/>
  <c r="E35" i="32"/>
  <c r="F34" i="32"/>
  <c r="E34" i="32"/>
  <c r="F33" i="32"/>
  <c r="E33" i="32"/>
  <c r="F32" i="32"/>
  <c r="E32" i="32"/>
  <c r="F31" i="32"/>
  <c r="E31" i="32"/>
  <c r="F30" i="32"/>
  <c r="E30" i="32"/>
  <c r="F29" i="32"/>
  <c r="E29" i="32"/>
  <c r="F28" i="32"/>
  <c r="E28" i="32"/>
  <c r="F27" i="32"/>
  <c r="E27" i="32"/>
  <c r="F26" i="32"/>
  <c r="E26" i="32"/>
  <c r="F25" i="32"/>
  <c r="E25" i="32"/>
  <c r="F24" i="32"/>
  <c r="E24" i="32"/>
  <c r="F23" i="32"/>
  <c r="E23" i="32"/>
  <c r="F22" i="32"/>
  <c r="E22" i="32"/>
  <c r="F21" i="32"/>
  <c r="E21" i="32"/>
  <c r="F20" i="32"/>
  <c r="E20" i="32"/>
  <c r="F19" i="32"/>
  <c r="E19" i="32"/>
  <c r="F18" i="32"/>
  <c r="E18" i="32"/>
  <c r="F17" i="32"/>
  <c r="E17" i="32"/>
  <c r="F16" i="32"/>
  <c r="E16" i="32"/>
  <c r="F15" i="32"/>
  <c r="E15" i="32"/>
  <c r="F14" i="32"/>
  <c r="E14" i="32"/>
  <c r="F13" i="32"/>
  <c r="E13" i="32"/>
  <c r="F12" i="32"/>
  <c r="E12" i="32"/>
  <c r="F11" i="32"/>
  <c r="E11" i="32"/>
  <c r="F10" i="32"/>
  <c r="E10" i="32"/>
  <c r="F9" i="32"/>
  <c r="E9" i="32"/>
  <c r="T8" i="32"/>
  <c r="R8" i="32"/>
  <c r="F8" i="32"/>
  <c r="L8" i="32"/>
  <c r="M8" i="32"/>
  <c r="M9" i="32" s="1"/>
  <c r="N9" i="32" s="1"/>
  <c r="E8" i="32"/>
  <c r="E43" i="31"/>
  <c r="E42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T8" i="31"/>
  <c r="R8" i="31"/>
  <c r="F8" i="31"/>
  <c r="E8" i="31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T8" i="29"/>
  <c r="R8" i="29"/>
  <c r="F8" i="29"/>
  <c r="E8" i="29"/>
  <c r="R8" i="28"/>
  <c r="T8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45" i="28"/>
  <c r="E44" i="28"/>
  <c r="E43" i="28"/>
  <c r="E42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M8" i="28"/>
  <c r="N8" i="28" s="1"/>
  <c r="E8" i="28"/>
  <c r="E46" i="27"/>
  <c r="E45" i="27"/>
  <c r="E44" i="27"/>
  <c r="E43" i="27"/>
  <c r="E42" i="27"/>
  <c r="F41" i="27"/>
  <c r="E41" i="27"/>
  <c r="F40" i="27"/>
  <c r="E40" i="27"/>
  <c r="F39" i="27"/>
  <c r="E39" i="27"/>
  <c r="F38" i="27"/>
  <c r="E38" i="27"/>
  <c r="F37" i="27"/>
  <c r="E37" i="27"/>
  <c r="F36" i="27"/>
  <c r="E36" i="27"/>
  <c r="F35" i="27"/>
  <c r="E35" i="27"/>
  <c r="F34" i="27"/>
  <c r="E34" i="27"/>
  <c r="F33" i="27"/>
  <c r="E33" i="27"/>
  <c r="F32" i="27"/>
  <c r="E32" i="27"/>
  <c r="F31" i="27"/>
  <c r="E31" i="27"/>
  <c r="F30" i="27"/>
  <c r="E30" i="27"/>
  <c r="F29" i="27"/>
  <c r="E29" i="27"/>
  <c r="F28" i="27"/>
  <c r="E28" i="27"/>
  <c r="F27" i="27"/>
  <c r="E27" i="27"/>
  <c r="F26" i="27"/>
  <c r="E26" i="27"/>
  <c r="F25" i="27"/>
  <c r="E25" i="27"/>
  <c r="F24" i="27"/>
  <c r="E24" i="27"/>
  <c r="F23" i="27"/>
  <c r="E23" i="27"/>
  <c r="F22" i="27"/>
  <c r="E22" i="27"/>
  <c r="F21" i="27"/>
  <c r="E21" i="27"/>
  <c r="F20" i="27"/>
  <c r="E20" i="27"/>
  <c r="F19" i="27"/>
  <c r="E19" i="27"/>
  <c r="F18" i="27"/>
  <c r="E18" i="27"/>
  <c r="F17" i="27"/>
  <c r="E17" i="27"/>
  <c r="F16" i="27"/>
  <c r="E16" i="27"/>
  <c r="F15" i="27"/>
  <c r="E15" i="27"/>
  <c r="F14" i="27"/>
  <c r="E14" i="27"/>
  <c r="F13" i="27"/>
  <c r="E13" i="27"/>
  <c r="F12" i="27"/>
  <c r="E12" i="27"/>
  <c r="F11" i="27"/>
  <c r="E11" i="27"/>
  <c r="F10" i="27"/>
  <c r="E10" i="27"/>
  <c r="F9" i="27"/>
  <c r="E9" i="27"/>
  <c r="T8" i="27"/>
  <c r="R8" i="27"/>
  <c r="F8" i="27"/>
  <c r="L8" i="27"/>
  <c r="E8" i="27"/>
  <c r="E46" i="26"/>
  <c r="E45" i="26"/>
  <c r="E44" i="26"/>
  <c r="E43" i="26"/>
  <c r="E42" i="26"/>
  <c r="F41" i="26"/>
  <c r="E41" i="26"/>
  <c r="F40" i="26"/>
  <c r="E40" i="26"/>
  <c r="F39" i="26"/>
  <c r="E39" i="26"/>
  <c r="F38" i="26"/>
  <c r="E38" i="26"/>
  <c r="F37" i="26"/>
  <c r="E37" i="26"/>
  <c r="F36" i="26"/>
  <c r="E36" i="26"/>
  <c r="F35" i="26"/>
  <c r="E35" i="26"/>
  <c r="F34" i="26"/>
  <c r="E34" i="26"/>
  <c r="F33" i="26"/>
  <c r="E33" i="26"/>
  <c r="F32" i="26"/>
  <c r="E32" i="26"/>
  <c r="F31" i="26"/>
  <c r="E31" i="26"/>
  <c r="F30" i="26"/>
  <c r="E30" i="26"/>
  <c r="F29" i="26"/>
  <c r="E29" i="26"/>
  <c r="F28" i="26"/>
  <c r="E28" i="26"/>
  <c r="F27" i="26"/>
  <c r="E27" i="26"/>
  <c r="F26" i="26"/>
  <c r="E26" i="26"/>
  <c r="F25" i="26"/>
  <c r="E25" i="26"/>
  <c r="F24" i="26"/>
  <c r="E24" i="26"/>
  <c r="F23" i="26"/>
  <c r="E23" i="26"/>
  <c r="F22" i="26"/>
  <c r="E22" i="26"/>
  <c r="F21" i="26"/>
  <c r="E21" i="26"/>
  <c r="F20" i="26"/>
  <c r="E20" i="26"/>
  <c r="F19" i="26"/>
  <c r="E19" i="26"/>
  <c r="F18" i="26"/>
  <c r="E18" i="26"/>
  <c r="F17" i="26"/>
  <c r="E17" i="26"/>
  <c r="F16" i="26"/>
  <c r="E16" i="26"/>
  <c r="F15" i="26"/>
  <c r="E15" i="26"/>
  <c r="F14" i="26"/>
  <c r="E14" i="26"/>
  <c r="F13" i="26"/>
  <c r="E13" i="26"/>
  <c r="F12" i="26"/>
  <c r="E12" i="26"/>
  <c r="F11" i="26"/>
  <c r="E11" i="26"/>
  <c r="F10" i="26"/>
  <c r="E10" i="26"/>
  <c r="F9" i="26"/>
  <c r="E9" i="26"/>
  <c r="T8" i="26"/>
  <c r="R8" i="26"/>
  <c r="F8" i="26"/>
  <c r="E8" i="26"/>
  <c r="F27" i="25"/>
  <c r="R8" i="25"/>
  <c r="T8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L8" i="25" s="1"/>
  <c r="M8" i="25" s="1"/>
  <c r="M9" i="25" s="1"/>
  <c r="M10" i="25" s="1"/>
  <c r="N10" i="25" s="1"/>
  <c r="E8" i="25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3" i="4"/>
  <c r="D12" i="4"/>
  <c r="D11" i="4"/>
  <c r="D10" i="4"/>
  <c r="D9" i="4"/>
  <c r="D8" i="4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3" i="3"/>
  <c r="E12" i="3"/>
  <c r="E11" i="3"/>
  <c r="E10" i="3"/>
  <c r="E9" i="3"/>
  <c r="E8" i="3"/>
  <c r="F8" i="3"/>
  <c r="L8" i="3"/>
  <c r="L9" i="3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8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T8" i="23"/>
  <c r="R8" i="23"/>
  <c r="F8" i="23"/>
  <c r="L8" i="23" s="1"/>
  <c r="L9" i="23" s="1"/>
  <c r="E23" i="22"/>
  <c r="F21" i="22"/>
  <c r="E2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E22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F10" i="22"/>
  <c r="E10" i="22"/>
  <c r="F9" i="22"/>
  <c r="E9" i="22"/>
  <c r="T8" i="22"/>
  <c r="R8" i="22"/>
  <c r="F8" i="22"/>
  <c r="E8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22" i="20"/>
  <c r="E21" i="20"/>
  <c r="E20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E19" i="20"/>
  <c r="F18" i="20"/>
  <c r="E18" i="20"/>
  <c r="F17" i="20"/>
  <c r="E17" i="20"/>
  <c r="F16" i="20"/>
  <c r="E16" i="20"/>
  <c r="F15" i="20"/>
  <c r="E15" i="20"/>
  <c r="F14" i="20"/>
  <c r="E14" i="20"/>
  <c r="F13" i="20"/>
  <c r="E13" i="20"/>
  <c r="F12" i="20"/>
  <c r="E12" i="20"/>
  <c r="F11" i="20"/>
  <c r="E11" i="20"/>
  <c r="F10" i="20"/>
  <c r="E10" i="20"/>
  <c r="F9" i="20"/>
  <c r="E9" i="20"/>
  <c r="T8" i="20"/>
  <c r="R8" i="20"/>
  <c r="F8" i="20"/>
  <c r="L8" i="20" s="1"/>
  <c r="L9" i="20" s="1"/>
  <c r="L10" i="20" s="1"/>
  <c r="L11" i="20" s="1"/>
  <c r="E8" i="20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53" i="18"/>
  <c r="E52" i="18"/>
  <c r="E51" i="18"/>
  <c r="E50" i="18"/>
  <c r="E49" i="18"/>
  <c r="E48" i="18"/>
  <c r="E8" i="18"/>
  <c r="E19" i="17"/>
  <c r="E21" i="17"/>
  <c r="E20" i="17"/>
  <c r="E18" i="17"/>
  <c r="E53" i="17"/>
  <c r="E52" i="17"/>
  <c r="E51" i="17"/>
  <c r="E50" i="17"/>
  <c r="E49" i="17"/>
  <c r="E48" i="17"/>
  <c r="F47" i="17"/>
  <c r="E47" i="17"/>
  <c r="F46" i="17"/>
  <c r="E46" i="17"/>
  <c r="F45" i="17"/>
  <c r="E45" i="17"/>
  <c r="F44" i="17"/>
  <c r="E44" i="17"/>
  <c r="F43" i="17"/>
  <c r="E43" i="17"/>
  <c r="F42" i="17"/>
  <c r="E42" i="17"/>
  <c r="F41" i="17"/>
  <c r="E41" i="17"/>
  <c r="F40" i="17"/>
  <c r="E40" i="17"/>
  <c r="F39" i="17"/>
  <c r="E39" i="17"/>
  <c r="F38" i="17"/>
  <c r="E38" i="17"/>
  <c r="F37" i="17"/>
  <c r="E37" i="17"/>
  <c r="F36" i="17"/>
  <c r="E36" i="17"/>
  <c r="F35" i="17"/>
  <c r="E35" i="17"/>
  <c r="F34" i="17"/>
  <c r="E34" i="17"/>
  <c r="F33" i="17"/>
  <c r="E33" i="17"/>
  <c r="F32" i="17"/>
  <c r="E32" i="17"/>
  <c r="F31" i="17"/>
  <c r="E31" i="17"/>
  <c r="F30" i="17"/>
  <c r="E30" i="17"/>
  <c r="F29" i="17"/>
  <c r="E29" i="17"/>
  <c r="F28" i="17"/>
  <c r="E28" i="17"/>
  <c r="F27" i="17"/>
  <c r="E27" i="17"/>
  <c r="F26" i="17"/>
  <c r="E26" i="17"/>
  <c r="F25" i="17"/>
  <c r="E25" i="17"/>
  <c r="F24" i="17"/>
  <c r="E24" i="17"/>
  <c r="F23" i="17"/>
  <c r="E23" i="17"/>
  <c r="F22" i="17"/>
  <c r="E22" i="17"/>
  <c r="F21" i="17"/>
  <c r="F20" i="17"/>
  <c r="F19" i="17"/>
  <c r="F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T8" i="17"/>
  <c r="R8" i="17"/>
  <c r="F8" i="17"/>
  <c r="L8" i="17" s="1"/>
  <c r="E8" i="17"/>
  <c r="E53" i="14"/>
  <c r="E52" i="14"/>
  <c r="E51" i="14"/>
  <c r="E50" i="14"/>
  <c r="E49" i="14"/>
  <c r="E48" i="14"/>
  <c r="F47" i="14"/>
  <c r="E47" i="14"/>
  <c r="F46" i="14"/>
  <c r="E46" i="14"/>
  <c r="F45" i="14"/>
  <c r="E45" i="14"/>
  <c r="F44" i="14"/>
  <c r="E44" i="14"/>
  <c r="F43" i="14"/>
  <c r="E43" i="14"/>
  <c r="F42" i="14"/>
  <c r="E42" i="14"/>
  <c r="F41" i="14"/>
  <c r="E41" i="14"/>
  <c r="F40" i="14"/>
  <c r="E40" i="14"/>
  <c r="F39" i="14"/>
  <c r="E39" i="14"/>
  <c r="F38" i="14"/>
  <c r="E38" i="14"/>
  <c r="F37" i="14"/>
  <c r="E37" i="14"/>
  <c r="F36" i="14"/>
  <c r="E36" i="14"/>
  <c r="F35" i="14"/>
  <c r="E35" i="14"/>
  <c r="F34" i="14"/>
  <c r="E34" i="14"/>
  <c r="F33" i="14"/>
  <c r="E33" i="14"/>
  <c r="F32" i="14"/>
  <c r="E32" i="14"/>
  <c r="F31" i="14"/>
  <c r="E31" i="14"/>
  <c r="F30" i="14"/>
  <c r="E30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F23" i="14"/>
  <c r="E23" i="14"/>
  <c r="F22" i="14"/>
  <c r="E22" i="14"/>
  <c r="F21" i="14"/>
  <c r="E21" i="14"/>
  <c r="F20" i="14"/>
  <c r="E20" i="14"/>
  <c r="F19" i="14"/>
  <c r="E19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T8" i="14"/>
  <c r="R8" i="14"/>
  <c r="F8" i="14"/>
  <c r="E8" i="14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2" i="12"/>
  <c r="E30" i="12"/>
  <c r="E29" i="12"/>
  <c r="E28" i="12"/>
  <c r="E27" i="12"/>
  <c r="E26" i="12"/>
  <c r="E8" i="12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T8" i="11"/>
  <c r="R8" i="11"/>
  <c r="F8" i="11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F9" i="9"/>
  <c r="F8" i="9"/>
  <c r="M8" i="9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N26" i="11"/>
  <c r="N31" i="11"/>
  <c r="N27" i="11"/>
  <c r="N32" i="11"/>
  <c r="N29" i="11"/>
  <c r="N30" i="11"/>
  <c r="N28" i="11"/>
  <c r="N35" i="11"/>
  <c r="N33" i="11"/>
  <c r="N34" i="11"/>
  <c r="N37" i="11"/>
  <c r="N36" i="11"/>
  <c r="N40" i="11"/>
  <c r="N39" i="11"/>
  <c r="N38" i="11"/>
  <c r="L8" i="26"/>
  <c r="M8" i="26"/>
  <c r="L8" i="21"/>
  <c r="L8" i="31"/>
  <c r="L9" i="31" s="1"/>
  <c r="L10" i="31" s="1"/>
  <c r="L11" i="31" s="1"/>
  <c r="L12" i="31" s="1"/>
  <c r="L13" i="31" s="1"/>
  <c r="L14" i="31" s="1"/>
  <c r="M8" i="31"/>
  <c r="N8" i="31" s="1"/>
  <c r="L15" i="31"/>
  <c r="L16" i="31"/>
  <c r="L17" i="31"/>
  <c r="L18" i="31" s="1"/>
  <c r="L19" i="31" s="1"/>
  <c r="L20" i="31" s="1"/>
  <c r="L21" i="31" s="1"/>
  <c r="L22" i="31" s="1"/>
  <c r="L23" i="31" s="1"/>
  <c r="L24" i="31" s="1"/>
  <c r="L25" i="31" s="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L39" i="31" s="1"/>
  <c r="L40" i="31" s="1"/>
  <c r="L41" i="31" s="1"/>
  <c r="L42" i="31" s="1"/>
  <c r="L43" i="31" s="1"/>
  <c r="T8" i="43" l="1"/>
  <c r="L9" i="51"/>
  <c r="L10" i="51" s="1"/>
  <c r="L11" i="51" s="1"/>
  <c r="L12" i="51" s="1"/>
  <c r="L13" i="51" s="1"/>
  <c r="L14" i="51" s="1"/>
  <c r="L15" i="51" s="1"/>
  <c r="L16" i="51" s="1"/>
  <c r="L17" i="51" s="1"/>
  <c r="L18" i="51" s="1"/>
  <c r="L19" i="51" s="1"/>
  <c r="L20" i="51" s="1"/>
  <c r="L21" i="51" s="1"/>
  <c r="L22" i="51" s="1"/>
  <c r="L23" i="51" s="1"/>
  <c r="M8" i="51"/>
  <c r="M9" i="51" s="1"/>
  <c r="M10" i="51" s="1"/>
  <c r="N10" i="51" s="1"/>
  <c r="L9" i="17"/>
  <c r="L10" i="17" s="1"/>
  <c r="L11" i="17" s="1"/>
  <c r="R8" i="53"/>
  <c r="T8" i="53" s="1"/>
  <c r="R8" i="50"/>
  <c r="T8" i="50" s="1"/>
  <c r="R8" i="52"/>
  <c r="T8" i="52" s="1"/>
  <c r="M8" i="50"/>
  <c r="L9" i="50"/>
  <c r="L10" i="50" s="1"/>
  <c r="L11" i="50" s="1"/>
  <c r="L12" i="50" s="1"/>
  <c r="L13" i="50" s="1"/>
  <c r="L14" i="50" s="1"/>
  <c r="L15" i="50" s="1"/>
  <c r="L16" i="50" s="1"/>
  <c r="L17" i="50" s="1"/>
  <c r="L18" i="50" s="1"/>
  <c r="L19" i="50" s="1"/>
  <c r="L20" i="50" s="1"/>
  <c r="L21" i="50" s="1"/>
  <c r="L22" i="50" s="1"/>
  <c r="L23" i="50" s="1"/>
  <c r="M11" i="49"/>
  <c r="M12" i="49" s="1"/>
  <c r="M13" i="49" s="1"/>
  <c r="N13" i="49" s="1"/>
  <c r="L11" i="49"/>
  <c r="L12" i="49" s="1"/>
  <c r="L13" i="49" s="1"/>
  <c r="L14" i="49" s="1"/>
  <c r="L15" i="49" s="1"/>
  <c r="L16" i="49" s="1"/>
  <c r="L17" i="49" s="1"/>
  <c r="L18" i="49" s="1"/>
  <c r="L19" i="49" s="1"/>
  <c r="L20" i="49" s="1"/>
  <c r="L21" i="49" s="1"/>
  <c r="L22" i="49" s="1"/>
  <c r="L23" i="49" s="1"/>
  <c r="R8" i="49"/>
  <c r="T8" i="49" s="1"/>
  <c r="L8" i="52"/>
  <c r="N8" i="53"/>
  <c r="M10" i="53"/>
  <c r="M11" i="53"/>
  <c r="M12" i="53" s="1"/>
  <c r="M13" i="53" s="1"/>
  <c r="M14" i="53" s="1"/>
  <c r="M15" i="53" s="1"/>
  <c r="M16" i="53" s="1"/>
  <c r="N16" i="53" s="1"/>
  <c r="N8" i="51"/>
  <c r="N9" i="51"/>
  <c r="M11" i="51"/>
  <c r="M12" i="51"/>
  <c r="M13" i="51" s="1"/>
  <c r="M14" i="51" s="1"/>
  <c r="N14" i="51" s="1"/>
  <c r="N9" i="49"/>
  <c r="N12" i="49"/>
  <c r="M14" i="49"/>
  <c r="M15" i="49" s="1"/>
  <c r="M16" i="49"/>
  <c r="M17" i="49" s="1"/>
  <c r="M18" i="49" s="1"/>
  <c r="M19" i="49" s="1"/>
  <c r="N19" i="49" s="1"/>
  <c r="N10" i="49"/>
  <c r="M8" i="27"/>
  <c r="M9" i="27" s="1"/>
  <c r="N9" i="27" s="1"/>
  <c r="L9" i="27"/>
  <c r="L10" i="27" s="1"/>
  <c r="L11" i="27" s="1"/>
  <c r="L12" i="27" s="1"/>
  <c r="L13" i="27"/>
  <c r="L14" i="27" s="1"/>
  <c r="L15" i="27"/>
  <c r="L16" i="27" s="1"/>
  <c r="L17" i="27" s="1"/>
  <c r="L18" i="27" s="1"/>
  <c r="L19" i="27" s="1"/>
  <c r="L20" i="27" s="1"/>
  <c r="L21" i="27" s="1"/>
  <c r="L22" i="27" s="1"/>
  <c r="L23" i="27" s="1"/>
  <c r="R8" i="36"/>
  <c r="T8" i="36" s="1"/>
  <c r="Q8" i="29"/>
  <c r="S8" i="29"/>
  <c r="L8" i="29"/>
  <c r="L8" i="35"/>
  <c r="M8" i="35" s="1"/>
  <c r="M9" i="35" s="1"/>
  <c r="N8" i="35"/>
  <c r="R8" i="35"/>
  <c r="T8" i="35"/>
  <c r="L10" i="23"/>
  <c r="L11" i="23"/>
  <c r="L12" i="23" s="1"/>
  <c r="L13" i="23" s="1"/>
  <c r="L14" i="23"/>
  <c r="L15" i="23" s="1"/>
  <c r="L16" i="23" s="1"/>
  <c r="L17" i="23" s="1"/>
  <c r="L18" i="23" s="1"/>
  <c r="L19" i="23" s="1"/>
  <c r="L20" i="23" s="1"/>
  <c r="L21" i="23"/>
  <c r="L22" i="23" s="1"/>
  <c r="L24" i="23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8" i="34"/>
  <c r="L9" i="34"/>
  <c r="L10" i="34" s="1"/>
  <c r="L11" i="34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L23" i="34" s="1"/>
  <c r="L9" i="26"/>
  <c r="L10" i="26"/>
  <c r="L11" i="26" s="1"/>
  <c r="L12" i="26"/>
  <c r="L13" i="26" s="1"/>
  <c r="L14" i="26"/>
  <c r="L15" i="26" s="1"/>
  <c r="L16" i="26" s="1"/>
  <c r="L17" i="26" s="1"/>
  <c r="L18" i="26" s="1"/>
  <c r="L19" i="26" s="1"/>
  <c r="L20" i="26" s="1"/>
  <c r="L21" i="26" s="1"/>
  <c r="L22" i="26" s="1"/>
  <c r="L23" i="26" s="1"/>
  <c r="L24" i="26" s="1"/>
  <c r="L25" i="26" s="1"/>
  <c r="L26" i="26" s="1"/>
  <c r="L27" i="26" s="1"/>
  <c r="L28" i="26" s="1"/>
  <c r="L29" i="26" s="1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23" i="3"/>
  <c r="L24" i="3"/>
  <c r="L25" i="3" s="1"/>
  <c r="L26" i="3" s="1"/>
  <c r="L27" i="3" s="1"/>
  <c r="L28" i="3"/>
  <c r="L29" i="3" s="1"/>
  <c r="L30" i="3"/>
  <c r="L31" i="3" s="1"/>
  <c r="L32" i="3"/>
  <c r="L33" i="3" s="1"/>
  <c r="L34" i="3" s="1"/>
  <c r="L35" i="3" s="1"/>
  <c r="L36" i="3" s="1"/>
  <c r="L37" i="3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M8" i="20"/>
  <c r="M9" i="20" s="1"/>
  <c r="M9" i="31"/>
  <c r="N9" i="31"/>
  <c r="M10" i="31"/>
  <c r="N10" i="31"/>
  <c r="M8" i="21"/>
  <c r="N8" i="21" s="1"/>
  <c r="M8" i="17"/>
  <c r="N8" i="17" s="1"/>
  <c r="M9" i="17"/>
  <c r="N9" i="17" s="1"/>
  <c r="R8" i="44"/>
  <c r="T8" i="44" s="1"/>
  <c r="Q8" i="32"/>
  <c r="S8" i="32" s="1"/>
  <c r="Q8" i="25"/>
  <c r="S8" i="25" s="1"/>
  <c r="M8" i="3"/>
  <c r="M9" i="3"/>
  <c r="N9" i="3" s="1"/>
  <c r="R8" i="41"/>
  <c r="T8" i="41" s="1"/>
  <c r="L9" i="42"/>
  <c r="L10" i="42"/>
  <c r="L11" i="42" s="1"/>
  <c r="L12" i="42"/>
  <c r="L13" i="42"/>
  <c r="L14" i="42" s="1"/>
  <c r="L15" i="42" s="1"/>
  <c r="L16" i="42" s="1"/>
  <c r="L17" i="42" s="1"/>
  <c r="L18" i="42" s="1"/>
  <c r="L19" i="42" s="1"/>
  <c r="L20" i="42" s="1"/>
  <c r="L21" i="42" s="1"/>
  <c r="L22" i="42" s="1"/>
  <c r="L23" i="42" s="1"/>
  <c r="R8" i="42"/>
  <c r="T8" i="42" s="1"/>
  <c r="Q8" i="33"/>
  <c r="S8" i="33" s="1"/>
  <c r="L11" i="33"/>
  <c r="L12" i="33"/>
  <c r="L13" i="33" s="1"/>
  <c r="L14" i="33" s="1"/>
  <c r="L15" i="33" s="1"/>
  <c r="L16" i="33" s="1"/>
  <c r="L17" i="33" s="1"/>
  <c r="L18" i="33" s="1"/>
  <c r="L19" i="33" s="1"/>
  <c r="L20" i="33" s="1"/>
  <c r="L21" i="33" s="1"/>
  <c r="L22" i="33" s="1"/>
  <c r="L23" i="33" s="1"/>
  <c r="M8" i="12"/>
  <c r="N8" i="12"/>
  <c r="M9" i="12"/>
  <c r="M10" i="12"/>
  <c r="M11" i="12"/>
  <c r="M12" i="12"/>
  <c r="N12" i="12" s="1"/>
  <c r="L9" i="12"/>
  <c r="L10" i="12" s="1"/>
  <c r="L11" i="12" s="1"/>
  <c r="L12" i="12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N8" i="26"/>
  <c r="M9" i="26"/>
  <c r="N9" i="26"/>
  <c r="L8" i="11"/>
  <c r="M8" i="11" s="1"/>
  <c r="N8" i="11" s="1"/>
  <c r="L9" i="1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Q8" i="11"/>
  <c r="S8" i="11" s="1"/>
  <c r="S8" i="9"/>
  <c r="U8" i="9"/>
  <c r="Q8" i="23"/>
  <c r="S8" i="23"/>
  <c r="L17" i="21"/>
  <c r="L18" i="21" s="1"/>
  <c r="L19" i="21"/>
  <c r="L20" i="21" s="1"/>
  <c r="L21" i="21" s="1"/>
  <c r="L22" i="21" s="1"/>
  <c r="L23" i="21" s="1"/>
  <c r="L24" i="2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9" i="18"/>
  <c r="L10" i="18" s="1"/>
  <c r="L11" i="18" s="1"/>
  <c r="L12" i="18" s="1"/>
  <c r="L13" i="18" s="1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M8" i="18"/>
  <c r="N8" i="18"/>
  <c r="Q8" i="22"/>
  <c r="S8" i="22" s="1"/>
  <c r="L8" i="14"/>
  <c r="Q8" i="14"/>
  <c r="S8" i="14"/>
  <c r="R8" i="37"/>
  <c r="T8" i="37" s="1"/>
  <c r="Q8" i="26"/>
  <c r="S8" i="26" s="1"/>
  <c r="Q8" i="31"/>
  <c r="S8" i="31" s="1"/>
  <c r="Q8" i="27"/>
  <c r="S8" i="27" s="1"/>
  <c r="L14" i="36"/>
  <c r="L15" i="36" s="1"/>
  <c r="L16" i="36" s="1"/>
  <c r="L17" i="36" s="1"/>
  <c r="L18" i="36" s="1"/>
  <c r="L19" i="36" s="1"/>
  <c r="L20" i="36" s="1"/>
  <c r="L21" i="36" s="1"/>
  <c r="L22" i="36" s="1"/>
  <c r="L23" i="36" s="1"/>
  <c r="L10" i="40"/>
  <c r="L11" i="40"/>
  <c r="L12" i="40" s="1"/>
  <c r="L13" i="40" s="1"/>
  <c r="L14" i="40"/>
  <c r="L15" i="40" s="1"/>
  <c r="L16" i="40" s="1"/>
  <c r="L17" i="40" s="1"/>
  <c r="L18" i="40" s="1"/>
  <c r="L19" i="40" s="1"/>
  <c r="L20" i="40" s="1"/>
  <c r="L21" i="40" s="1"/>
  <c r="L22" i="40" s="1"/>
  <c r="L23" i="40" s="1"/>
  <c r="L8" i="39"/>
  <c r="L9" i="39"/>
  <c r="L10" i="39" s="1"/>
  <c r="L11" i="39" s="1"/>
  <c r="L12" i="39" s="1"/>
  <c r="L13" i="39" s="1"/>
  <c r="L14" i="39" s="1"/>
  <c r="L15" i="39" s="1"/>
  <c r="L16" i="39" s="1"/>
  <c r="L17" i="39" s="1"/>
  <c r="L18" i="39" s="1"/>
  <c r="L19" i="39" s="1"/>
  <c r="L20" i="39" s="1"/>
  <c r="L21" i="39" s="1"/>
  <c r="L22" i="39" s="1"/>
  <c r="L23" i="39" s="1"/>
  <c r="R8" i="39"/>
  <c r="T8" i="39" s="1"/>
  <c r="Q8" i="20"/>
  <c r="S8" i="20" s="1"/>
  <c r="L12" i="17"/>
  <c r="L13" i="17" s="1"/>
  <c r="L14" i="17"/>
  <c r="L15" i="17" s="1"/>
  <c r="L16" i="17"/>
  <c r="L17" i="17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Q8" i="17"/>
  <c r="S8" i="17"/>
  <c r="R8" i="40"/>
  <c r="T8" i="40" s="1"/>
  <c r="L12" i="20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Q8" i="28"/>
  <c r="S8" i="28"/>
  <c r="R8" i="38"/>
  <c r="T8" i="38" s="1"/>
  <c r="L8" i="38"/>
  <c r="L8" i="22"/>
  <c r="R8" i="21"/>
  <c r="T8" i="21" s="1"/>
  <c r="M9" i="9"/>
  <c r="M10" i="9"/>
  <c r="M11" i="9"/>
  <c r="M12" i="9" s="1"/>
  <c r="M13" i="9"/>
  <c r="M14" i="9" s="1"/>
  <c r="M15" i="9"/>
  <c r="M16" i="9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9" i="44"/>
  <c r="M10" i="44" s="1"/>
  <c r="M11" i="44" s="1"/>
  <c r="N11" i="44" s="1"/>
  <c r="M8" i="42"/>
  <c r="M9" i="42"/>
  <c r="N9" i="42" s="1"/>
  <c r="R8" i="12"/>
  <c r="T8" i="12"/>
  <c r="R8" i="18"/>
  <c r="T8" i="18"/>
  <c r="N8" i="25"/>
  <c r="M11" i="37"/>
  <c r="M12" i="37" s="1"/>
  <c r="N12" i="37" s="1"/>
  <c r="M11" i="43"/>
  <c r="N11" i="43" s="1"/>
  <c r="O33" i="12"/>
  <c r="N8" i="20"/>
  <c r="M10" i="32"/>
  <c r="N10" i="32"/>
  <c r="N8" i="27"/>
  <c r="N8" i="43"/>
  <c r="N8" i="3"/>
  <c r="N8" i="32"/>
  <c r="N8" i="37"/>
  <c r="M11" i="25"/>
  <c r="M12" i="25" s="1"/>
  <c r="M13" i="25" s="1"/>
  <c r="M14" i="25" s="1"/>
  <c r="N14" i="25" s="1"/>
  <c r="M8" i="33"/>
  <c r="N8" i="33"/>
  <c r="M9" i="41"/>
  <c r="M10" i="41"/>
  <c r="N10" i="41" s="1"/>
  <c r="M8" i="40"/>
  <c r="N8" i="40"/>
  <c r="L9" i="43"/>
  <c r="L10" i="43"/>
  <c r="L11" i="43" s="1"/>
  <c r="L12" i="43" s="1"/>
  <c r="L13" i="43" s="1"/>
  <c r="L14" i="43" s="1"/>
  <c r="L15" i="43" s="1"/>
  <c r="L16" i="43" s="1"/>
  <c r="L17" i="43" s="1"/>
  <c r="L18" i="43" s="1"/>
  <c r="L19" i="43" s="1"/>
  <c r="L20" i="43" s="1"/>
  <c r="L21" i="43" s="1"/>
  <c r="L22" i="43" s="1"/>
  <c r="L23" i="43" s="1"/>
  <c r="L9" i="44"/>
  <c r="L10" i="44" s="1"/>
  <c r="L11" i="44" s="1"/>
  <c r="L12" i="44"/>
  <c r="L13" i="44" s="1"/>
  <c r="L14" i="44"/>
  <c r="L15" i="44" s="1"/>
  <c r="L16" i="44"/>
  <c r="L17" i="44"/>
  <c r="L18" i="44" s="1"/>
  <c r="L19" i="44" s="1"/>
  <c r="L20" i="44" s="1"/>
  <c r="L21" i="44" s="1"/>
  <c r="L22" i="44" s="1"/>
  <c r="L23" i="44" s="1"/>
  <c r="N9" i="37"/>
  <c r="L9" i="37"/>
  <c r="L10" i="37" s="1"/>
  <c r="L11" i="37" s="1"/>
  <c r="L12" i="37"/>
  <c r="L13" i="37" s="1"/>
  <c r="L14" i="37" s="1"/>
  <c r="L15" i="37" s="1"/>
  <c r="L16" i="37" s="1"/>
  <c r="L17" i="37" s="1"/>
  <c r="L18" i="37" s="1"/>
  <c r="L19" i="37" s="1"/>
  <c r="L20" i="37" s="1"/>
  <c r="L21" i="37" s="1"/>
  <c r="L22" i="37" s="1"/>
  <c r="L23" i="37" s="1"/>
  <c r="M9" i="28"/>
  <c r="N9" i="28" s="1"/>
  <c r="M8" i="23"/>
  <c r="M9" i="23" s="1"/>
  <c r="M10" i="23"/>
  <c r="N10" i="23"/>
  <c r="L9" i="41"/>
  <c r="L10" i="41" s="1"/>
  <c r="L11" i="41" s="1"/>
  <c r="L12" i="41" s="1"/>
  <c r="L13" i="41" s="1"/>
  <c r="L14" i="41" s="1"/>
  <c r="L15" i="41" s="1"/>
  <c r="L16" i="41" s="1"/>
  <c r="L17" i="41" s="1"/>
  <c r="L18" i="41" s="1"/>
  <c r="L19" i="41" s="1"/>
  <c r="L20" i="41" s="1"/>
  <c r="L21" i="41" s="1"/>
  <c r="L22" i="41" s="1"/>
  <c r="L23" i="41" s="1"/>
  <c r="L9" i="32"/>
  <c r="L10" i="32"/>
  <c r="L11" i="32" s="1"/>
  <c r="L12" i="32" s="1"/>
  <c r="L13" i="32" s="1"/>
  <c r="L14" i="32" s="1"/>
  <c r="L15" i="32" s="1"/>
  <c r="L16" i="32" s="1"/>
  <c r="L17" i="32" s="1"/>
  <c r="L18" i="32" s="1"/>
  <c r="L19" i="32" s="1"/>
  <c r="L20" i="32" s="1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9" i="28"/>
  <c r="L10" i="28"/>
  <c r="L11" i="28" s="1"/>
  <c r="L12" i="28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9" i="25"/>
  <c r="L10" i="25"/>
  <c r="L11" i="25"/>
  <c r="L12" i="25" s="1"/>
  <c r="L13" i="25"/>
  <c r="L14" i="25"/>
  <c r="L15" i="25" s="1"/>
  <c r="L16" i="25" s="1"/>
  <c r="L17" i="25" s="1"/>
  <c r="L18" i="25" s="1"/>
  <c r="L19" i="25" s="1"/>
  <c r="L20" i="25" s="1"/>
  <c r="L21" i="25" s="1"/>
  <c r="L22" i="25" s="1"/>
  <c r="L23" i="25" s="1"/>
  <c r="N9" i="25"/>
  <c r="N9" i="35"/>
  <c r="N9" i="43"/>
  <c r="M8" i="36"/>
  <c r="M9" i="36"/>
  <c r="N9" i="36"/>
  <c r="L9" i="35"/>
  <c r="L10" i="35" s="1"/>
  <c r="L11" i="35" s="1"/>
  <c r="L12" i="35" s="1"/>
  <c r="L13" i="35" s="1"/>
  <c r="L14" i="35" s="1"/>
  <c r="L15" i="35" s="1"/>
  <c r="L16" i="35" s="1"/>
  <c r="L17" i="35" s="1"/>
  <c r="L18" i="35" s="1"/>
  <c r="L19" i="35" s="1"/>
  <c r="L20" i="35" s="1"/>
  <c r="L21" i="35" s="1"/>
  <c r="L22" i="35" s="1"/>
  <c r="L23" i="35" s="1"/>
  <c r="N8" i="9"/>
  <c r="O8" i="9"/>
  <c r="N8" i="44"/>
  <c r="M10" i="17" l="1"/>
  <c r="M11" i="17" s="1"/>
  <c r="M12" i="17" s="1"/>
  <c r="M13" i="17" s="1"/>
  <c r="N13" i="17" s="1"/>
  <c r="M10" i="27"/>
  <c r="M11" i="27" s="1"/>
  <c r="N11" i="27" s="1"/>
  <c r="L9" i="52"/>
  <c r="L10" i="52" s="1"/>
  <c r="L11" i="52" s="1"/>
  <c r="L12" i="52" s="1"/>
  <c r="L13" i="52" s="1"/>
  <c r="L14" i="52" s="1"/>
  <c r="L15" i="52" s="1"/>
  <c r="L16" i="52" s="1"/>
  <c r="L17" i="52" s="1"/>
  <c r="L18" i="52" s="1"/>
  <c r="L19" i="52" s="1"/>
  <c r="L20" i="52" s="1"/>
  <c r="L21" i="52" s="1"/>
  <c r="L22" i="52" s="1"/>
  <c r="L23" i="52" s="1"/>
  <c r="M8" i="52"/>
  <c r="M9" i="50"/>
  <c r="N8" i="50"/>
  <c r="N11" i="49"/>
  <c r="N11" i="53"/>
  <c r="N13" i="53"/>
  <c r="N15" i="53"/>
  <c r="N10" i="53"/>
  <c r="N12" i="53"/>
  <c r="N14" i="53"/>
  <c r="M17" i="53"/>
  <c r="M18" i="53"/>
  <c r="N18" i="53" s="1"/>
  <c r="N11" i="51"/>
  <c r="N13" i="51"/>
  <c r="M15" i="51"/>
  <c r="M16" i="51"/>
  <c r="M17" i="51" s="1"/>
  <c r="M18" i="51" s="1"/>
  <c r="N18" i="51" s="1"/>
  <c r="N12" i="51"/>
  <c r="N16" i="49"/>
  <c r="N18" i="49"/>
  <c r="N15" i="49"/>
  <c r="N17" i="49"/>
  <c r="N14" i="49"/>
  <c r="M20" i="49"/>
  <c r="N20" i="49"/>
  <c r="N8" i="42"/>
  <c r="M9" i="21"/>
  <c r="N9" i="21"/>
  <c r="M11" i="31"/>
  <c r="L9" i="38"/>
  <c r="L10" i="38" s="1"/>
  <c r="L11" i="38" s="1"/>
  <c r="L12" i="38" s="1"/>
  <c r="L13" i="38" s="1"/>
  <c r="L14" i="38" s="1"/>
  <c r="L15" i="38" s="1"/>
  <c r="L16" i="38" s="1"/>
  <c r="L17" i="38" s="1"/>
  <c r="L18" i="38" s="1"/>
  <c r="L19" i="38" s="1"/>
  <c r="L20" i="38" s="1"/>
  <c r="L21" i="38" s="1"/>
  <c r="L22" i="38" s="1"/>
  <c r="L23" i="38" s="1"/>
  <c r="L24" i="38" s="1"/>
  <c r="L25" i="38" s="1"/>
  <c r="L26" i="38" s="1"/>
  <c r="L27" i="38" s="1"/>
  <c r="L28" i="38" s="1"/>
  <c r="L29" i="38" s="1"/>
  <c r="L30" i="38" s="1"/>
  <c r="L31" i="38" s="1"/>
  <c r="L32" i="38" s="1"/>
  <c r="L33" i="38" s="1"/>
  <c r="L34" i="38" s="1"/>
  <c r="L35" i="38" s="1"/>
  <c r="L36" i="38" s="1"/>
  <c r="L37" i="38" s="1"/>
  <c r="L39" i="38" s="1"/>
  <c r="L40" i="38" s="1"/>
  <c r="L41" i="38" s="1"/>
  <c r="L42" i="38" s="1"/>
  <c r="L43" i="38" s="1"/>
  <c r="L44" i="38" s="1"/>
  <c r="L45" i="38" s="1"/>
  <c r="L46" i="38" s="1"/>
  <c r="L47" i="38" s="1"/>
  <c r="L48" i="38" s="1"/>
  <c r="L49" i="38" s="1"/>
  <c r="L50" i="38" s="1"/>
  <c r="L51" i="38" s="1"/>
  <c r="L52" i="38" s="1"/>
  <c r="L53" i="38" s="1"/>
  <c r="M8" i="38"/>
  <c r="N8" i="38"/>
  <c r="M9" i="38"/>
  <c r="M10" i="38"/>
  <c r="N9" i="38"/>
  <c r="N9" i="20"/>
  <c r="M10" i="20"/>
  <c r="N10" i="20" s="1"/>
  <c r="N9" i="44"/>
  <c r="M8" i="34"/>
  <c r="N8" i="34"/>
  <c r="M8" i="29"/>
  <c r="L9" i="29"/>
  <c r="L10" i="29"/>
  <c r="L11" i="29"/>
  <c r="L12" i="29"/>
  <c r="L13" i="29"/>
  <c r="L14" i="29"/>
  <c r="L15" i="29"/>
  <c r="L16" i="29" s="1"/>
  <c r="L17" i="29" s="1"/>
  <c r="L18" i="29" s="1"/>
  <c r="L19" i="29" s="1"/>
  <c r="L20" i="29" s="1"/>
  <c r="L21" i="29" s="1"/>
  <c r="L22" i="29" s="1"/>
  <c r="L23" i="29" s="1"/>
  <c r="N11" i="12"/>
  <c r="N10" i="12"/>
  <c r="N10" i="44"/>
  <c r="N9" i="12"/>
  <c r="M10" i="3"/>
  <c r="N10" i="3"/>
  <c r="M11" i="3"/>
  <c r="N11" i="3"/>
  <c r="M12" i="44"/>
  <c r="M13" i="44"/>
  <c r="N13" i="44" s="1"/>
  <c r="L9" i="22"/>
  <c r="L10" i="22"/>
  <c r="L11" i="22"/>
  <c r="L12" i="22" s="1"/>
  <c r="L13" i="22" s="1"/>
  <c r="L14" i="22" s="1"/>
  <c r="L15" i="22" s="1"/>
  <c r="L16" i="22" s="1"/>
  <c r="L17" i="22" s="1"/>
  <c r="L18" i="22" s="1"/>
  <c r="L19" i="22" s="1"/>
  <c r="L20" i="22" s="1"/>
  <c r="L21" i="22" s="1"/>
  <c r="L22" i="22" s="1"/>
  <c r="M8" i="22"/>
  <c r="M8" i="39"/>
  <c r="N8" i="39"/>
  <c r="M9" i="18"/>
  <c r="M10" i="18" s="1"/>
  <c r="M11" i="18" s="1"/>
  <c r="M12" i="18" s="1"/>
  <c r="N12" i="18" s="1"/>
  <c r="M10" i="26"/>
  <c r="M11" i="26"/>
  <c r="M12" i="26"/>
  <c r="N12" i="26"/>
  <c r="M8" i="14"/>
  <c r="L9" i="14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M9" i="34"/>
  <c r="N9" i="34" s="1"/>
  <c r="N12" i="25"/>
  <c r="M11" i="32"/>
  <c r="M12" i="32"/>
  <c r="M13" i="32"/>
  <c r="N13" i="32"/>
  <c r="M9" i="33"/>
  <c r="M10" i="33"/>
  <c r="N10" i="33" s="1"/>
  <c r="M13" i="12"/>
  <c r="N13" i="12"/>
  <c r="M10" i="36"/>
  <c r="N10" i="36" s="1"/>
  <c r="M9" i="40"/>
  <c r="M10" i="40"/>
  <c r="M11" i="40" s="1"/>
  <c r="N11" i="40" s="1"/>
  <c r="M12" i="43"/>
  <c r="N12" i="43"/>
  <c r="N11" i="37"/>
  <c r="M10" i="42"/>
  <c r="M11" i="42"/>
  <c r="N11" i="42"/>
  <c r="N8" i="36"/>
  <c r="N8" i="23"/>
  <c r="N9" i="23"/>
  <c r="M15" i="25"/>
  <c r="M16" i="25" s="1"/>
  <c r="N16" i="25" s="1"/>
  <c r="M11" i="41"/>
  <c r="M12" i="41"/>
  <c r="N12" i="41"/>
  <c r="N9" i="9"/>
  <c r="O9" i="9"/>
  <c r="M12" i="27"/>
  <c r="M13" i="27"/>
  <c r="M14" i="27" s="1"/>
  <c r="M15" i="27" s="1"/>
  <c r="N15" i="27" s="1"/>
  <c r="M10" i="28"/>
  <c r="M11" i="28"/>
  <c r="N11" i="28"/>
  <c r="M9" i="11"/>
  <c r="M10" i="11" s="1"/>
  <c r="M11" i="11" s="1"/>
  <c r="N11" i="11" s="1"/>
  <c r="N9" i="41"/>
  <c r="M10" i="35"/>
  <c r="N10" i="35"/>
  <c r="N10" i="27"/>
  <c r="N13" i="25"/>
  <c r="M11" i="23"/>
  <c r="M12" i="23"/>
  <c r="N12" i="23"/>
  <c r="N11" i="25"/>
  <c r="M13" i="37"/>
  <c r="M14" i="37" s="1"/>
  <c r="M15" i="37" s="1"/>
  <c r="M16" i="37" s="1"/>
  <c r="M17" i="37" s="1"/>
  <c r="N17" i="37" s="1"/>
  <c r="N43" i="40"/>
  <c r="N40" i="40"/>
  <c r="N41" i="40"/>
  <c r="N42" i="40"/>
  <c r="M11" i="20" l="1"/>
  <c r="M12" i="20" s="1"/>
  <c r="M13" i="20" s="1"/>
  <c r="N13" i="20" s="1"/>
  <c r="N12" i="17"/>
  <c r="N8" i="52"/>
  <c r="M9" i="52"/>
  <c r="N11" i="17"/>
  <c r="M10" i="50"/>
  <c r="N9" i="50"/>
  <c r="N10" i="17"/>
  <c r="M14" i="17"/>
  <c r="M15" i="17" s="1"/>
  <c r="M16" i="17" s="1"/>
  <c r="N16" i="17" s="1"/>
  <c r="N17" i="53"/>
  <c r="M19" i="53"/>
  <c r="M20" i="53"/>
  <c r="M21" i="53" s="1"/>
  <c r="N21" i="53" s="1"/>
  <c r="N16" i="51"/>
  <c r="M19" i="51"/>
  <c r="N19" i="51"/>
  <c r="N15" i="51"/>
  <c r="N17" i="51"/>
  <c r="M21" i="49"/>
  <c r="M22" i="49" s="1"/>
  <c r="M23" i="49" s="1"/>
  <c r="N23" i="49" s="1"/>
  <c r="M11" i="38"/>
  <c r="N11" i="38" s="1"/>
  <c r="M12" i="38"/>
  <c r="N12" i="38" s="1"/>
  <c r="N10" i="38"/>
  <c r="M12" i="31"/>
  <c r="N11" i="31"/>
  <c r="N12" i="44"/>
  <c r="M10" i="21"/>
  <c r="N10" i="21"/>
  <c r="N8" i="29"/>
  <c r="M9" i="29"/>
  <c r="M11" i="21"/>
  <c r="N10" i="18"/>
  <c r="M13" i="26"/>
  <c r="N13" i="26"/>
  <c r="N11" i="26"/>
  <c r="M14" i="44"/>
  <c r="N14" i="44"/>
  <c r="M12" i="3"/>
  <c r="N12" i="3" s="1"/>
  <c r="M9" i="22"/>
  <c r="N8" i="22"/>
  <c r="N9" i="18"/>
  <c r="M9" i="14"/>
  <c r="N8" i="14"/>
  <c r="N10" i="26"/>
  <c r="M9" i="39"/>
  <c r="N9" i="39"/>
  <c r="M10" i="34"/>
  <c r="M11" i="34" s="1"/>
  <c r="N11" i="34" s="1"/>
  <c r="M16" i="27"/>
  <c r="N16" i="27" s="1"/>
  <c r="N14" i="17"/>
  <c r="N11" i="20"/>
  <c r="N9" i="11"/>
  <c r="N11" i="18"/>
  <c r="M18" i="37"/>
  <c r="N18" i="37" s="1"/>
  <c r="N10" i="9"/>
  <c r="O10" i="9"/>
  <c r="M13" i="41"/>
  <c r="N13" i="41" s="1"/>
  <c r="N13" i="37"/>
  <c r="N10" i="40"/>
  <c r="N10" i="42"/>
  <c r="N13" i="27"/>
  <c r="N10" i="11"/>
  <c r="N11" i="23"/>
  <c r="N15" i="25"/>
  <c r="M11" i="33"/>
  <c r="M12" i="33" s="1"/>
  <c r="N12" i="33" s="1"/>
  <c r="M14" i="12"/>
  <c r="N14" i="12" s="1"/>
  <c r="M12" i="42"/>
  <c r="M13" i="42"/>
  <c r="N13" i="42" s="1"/>
  <c r="N14" i="27"/>
  <c r="M17" i="25"/>
  <c r="M18" i="25"/>
  <c r="M19" i="25"/>
  <c r="M20" i="25"/>
  <c r="M21" i="25"/>
  <c r="N21" i="25" s="1"/>
  <c r="N12" i="27"/>
  <c r="N12" i="32"/>
  <c r="M12" i="11"/>
  <c r="M13" i="11" s="1"/>
  <c r="N13" i="11" s="1"/>
  <c r="M14" i="32"/>
  <c r="M15" i="32"/>
  <c r="M16" i="32"/>
  <c r="M17" i="32" s="1"/>
  <c r="M18" i="32" s="1"/>
  <c r="M19" i="32" s="1"/>
  <c r="N19" i="32" s="1"/>
  <c r="N9" i="33"/>
  <c r="N11" i="32"/>
  <c r="M12" i="28"/>
  <c r="N12" i="28" s="1"/>
  <c r="N15" i="17"/>
  <c r="N15" i="37"/>
  <c r="N11" i="41"/>
  <c r="N16" i="37"/>
  <c r="M11" i="36"/>
  <c r="M12" i="36" s="1"/>
  <c r="N12" i="36" s="1"/>
  <c r="M12" i="40"/>
  <c r="M13" i="40" s="1"/>
  <c r="M14" i="40" s="1"/>
  <c r="M15" i="40" s="1"/>
  <c r="M16" i="40" s="1"/>
  <c r="M17" i="40" s="1"/>
  <c r="N17" i="40" s="1"/>
  <c r="N9" i="40"/>
  <c r="M17" i="17"/>
  <c r="M18" i="17"/>
  <c r="N18" i="17" s="1"/>
  <c r="M11" i="35"/>
  <c r="N11" i="35" s="1"/>
  <c r="M14" i="20"/>
  <c r="M15" i="20" s="1"/>
  <c r="M16" i="20" s="1"/>
  <c r="N16" i="20" s="1"/>
  <c r="N14" i="37"/>
  <c r="M13" i="43"/>
  <c r="N13" i="43"/>
  <c r="M13" i="23"/>
  <c r="N13" i="23"/>
  <c r="N12" i="20"/>
  <c r="M13" i="18"/>
  <c r="N13" i="18"/>
  <c r="N10" i="28"/>
  <c r="M11" i="50" l="1"/>
  <c r="N10" i="50"/>
  <c r="N9" i="52"/>
  <c r="M10" i="52"/>
  <c r="N19" i="53"/>
  <c r="N20" i="53"/>
  <c r="M22" i="53"/>
  <c r="M23" i="53"/>
  <c r="M24" i="53" s="1"/>
  <c r="M25" i="53" s="1"/>
  <c r="M26" i="53" s="1"/>
  <c r="M27" i="53" s="1"/>
  <c r="N27" i="53" s="1"/>
  <c r="M20" i="51"/>
  <c r="M21" i="51"/>
  <c r="N21" i="51" s="1"/>
  <c r="M24" i="49"/>
  <c r="M25" i="49" s="1"/>
  <c r="M26" i="49" s="1"/>
  <c r="N26" i="49" s="1"/>
  <c r="N22" i="49"/>
  <c r="N21" i="49"/>
  <c r="N12" i="31"/>
  <c r="M13" i="31"/>
  <c r="M13" i="38"/>
  <c r="M14" i="38" s="1"/>
  <c r="N14" i="38" s="1"/>
  <c r="M10" i="39"/>
  <c r="N9" i="29"/>
  <c r="M10" i="29"/>
  <c r="N11" i="21"/>
  <c r="M12" i="21"/>
  <c r="M14" i="26"/>
  <c r="M15" i="26"/>
  <c r="M16" i="26"/>
  <c r="M17" i="26" s="1"/>
  <c r="N17" i="26" s="1"/>
  <c r="M13" i="3"/>
  <c r="M14" i="3"/>
  <c r="N14" i="3"/>
  <c r="M15" i="44"/>
  <c r="M16" i="44"/>
  <c r="M17" i="44"/>
  <c r="N17" i="44"/>
  <c r="M10" i="14"/>
  <c r="N9" i="14"/>
  <c r="M10" i="22"/>
  <c r="N9" i="22"/>
  <c r="N10" i="34"/>
  <c r="M12" i="34"/>
  <c r="M13" i="34"/>
  <c r="N13" i="34"/>
  <c r="N18" i="25"/>
  <c r="M14" i="23"/>
  <c r="N14" i="23"/>
  <c r="N15" i="32"/>
  <c r="N17" i="17"/>
  <c r="N11" i="36"/>
  <c r="N14" i="40"/>
  <c r="M14" i="41"/>
  <c r="M15" i="41"/>
  <c r="N15" i="41"/>
  <c r="M20" i="32"/>
  <c r="N20" i="32"/>
  <c r="N14" i="32"/>
  <c r="M14" i="18"/>
  <c r="N14" i="18"/>
  <c r="M13" i="28"/>
  <c r="N13" i="28"/>
  <c r="N15" i="40"/>
  <c r="M18" i="40"/>
  <c r="N18" i="40"/>
  <c r="M12" i="35"/>
  <c r="M13" i="35"/>
  <c r="M14" i="35"/>
  <c r="N14" i="35"/>
  <c r="N20" i="25"/>
  <c r="M17" i="27"/>
  <c r="M18" i="27" s="1"/>
  <c r="M19" i="27" s="1"/>
  <c r="M20" i="27" s="1"/>
  <c r="N20" i="27" s="1"/>
  <c r="M17" i="20"/>
  <c r="M18" i="20"/>
  <c r="N18" i="20" s="1"/>
  <c r="N15" i="20"/>
  <c r="N17" i="32"/>
  <c r="M13" i="33"/>
  <c r="N13" i="33" s="1"/>
  <c r="M15" i="12"/>
  <c r="M16" i="12"/>
  <c r="N16" i="12" s="1"/>
  <c r="N11" i="9"/>
  <c r="N12" i="9"/>
  <c r="O12" i="9" s="1"/>
  <c r="M19" i="17"/>
  <c r="N19" i="17"/>
  <c r="N11" i="33"/>
  <c r="N12" i="40"/>
  <c r="M14" i="42"/>
  <c r="N14" i="42"/>
  <c r="M14" i="43"/>
  <c r="N14" i="43"/>
  <c r="M22" i="25"/>
  <c r="M23" i="25" s="1"/>
  <c r="N23" i="25" s="1"/>
  <c r="N17" i="25"/>
  <c r="N18" i="32"/>
  <c r="N14" i="20"/>
  <c r="N12" i="11"/>
  <c r="M14" i="11"/>
  <c r="M15" i="11"/>
  <c r="N15" i="11"/>
  <c r="M19" i="37"/>
  <c r="N19" i="37"/>
  <c r="N19" i="25"/>
  <c r="N16" i="32"/>
  <c r="N16" i="40"/>
  <c r="N13" i="40"/>
  <c r="M13" i="36"/>
  <c r="N13" i="36" s="1"/>
  <c r="N12" i="42"/>
  <c r="M11" i="52" l="1"/>
  <c r="N10" i="52"/>
  <c r="M12" i="50"/>
  <c r="N11" i="50"/>
  <c r="N22" i="53"/>
  <c r="N24" i="53"/>
  <c r="N25" i="53"/>
  <c r="M28" i="53"/>
  <c r="M29" i="53"/>
  <c r="M30" i="53"/>
  <c r="M31" i="53"/>
  <c r="M32" i="53"/>
  <c r="N32" i="53"/>
  <c r="N23" i="53"/>
  <c r="N26" i="53"/>
  <c r="M22" i="51"/>
  <c r="N22" i="51"/>
  <c r="N20" i="51"/>
  <c r="N25" i="49"/>
  <c r="N24" i="49"/>
  <c r="M27" i="49"/>
  <c r="N27" i="49"/>
  <c r="N13" i="31"/>
  <c r="M14" i="31"/>
  <c r="M11" i="39"/>
  <c r="N10" i="39"/>
  <c r="M15" i="38"/>
  <c r="M16" i="38" s="1"/>
  <c r="M17" i="38" s="1"/>
  <c r="M18" i="38" s="1"/>
  <c r="N18" i="38" s="1"/>
  <c r="N13" i="38"/>
  <c r="N12" i="21"/>
  <c r="M13" i="21"/>
  <c r="M11" i="29"/>
  <c r="N10" i="29"/>
  <c r="M15" i="3"/>
  <c r="N15" i="3"/>
  <c r="N15" i="26"/>
  <c r="N14" i="26"/>
  <c r="M18" i="44"/>
  <c r="M19" i="44"/>
  <c r="N19" i="44"/>
  <c r="N13" i="3"/>
  <c r="N16" i="44"/>
  <c r="M18" i="26"/>
  <c r="M19" i="26"/>
  <c r="M20" i="26"/>
  <c r="M21" i="26"/>
  <c r="N21" i="26"/>
  <c r="N16" i="26"/>
  <c r="N15" i="44"/>
  <c r="N10" i="22"/>
  <c r="M11" i="22"/>
  <c r="M11" i="14"/>
  <c r="N10" i="14"/>
  <c r="M14" i="34"/>
  <c r="M15" i="34"/>
  <c r="M16" i="34"/>
  <c r="M17" i="34"/>
  <c r="M18" i="34"/>
  <c r="M19" i="34" s="1"/>
  <c r="M20" i="34" s="1"/>
  <c r="N20" i="34" s="1"/>
  <c r="N12" i="34"/>
  <c r="M16" i="41"/>
  <c r="N16" i="41"/>
  <c r="N18" i="27"/>
  <c r="M15" i="43"/>
  <c r="N15" i="43"/>
  <c r="N12" i="35"/>
  <c r="M20" i="17"/>
  <c r="M21" i="17"/>
  <c r="N21" i="17"/>
  <c r="N22" i="25"/>
  <c r="N17" i="20"/>
  <c r="N14" i="11"/>
  <c r="M15" i="23"/>
  <c r="N15" i="23"/>
  <c r="M17" i="12"/>
  <c r="M18" i="12"/>
  <c r="M19" i="12"/>
  <c r="M20" i="12"/>
  <c r="M21" i="12"/>
  <c r="M22" i="12"/>
  <c r="M23" i="12"/>
  <c r="M24" i="12"/>
  <c r="M25" i="12"/>
  <c r="N25" i="12"/>
  <c r="N17" i="27"/>
  <c r="N13" i="9"/>
  <c r="O13" i="9"/>
  <c r="M24" i="25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41" i="25" s="1"/>
  <c r="M42" i="25" s="1"/>
  <c r="M43" i="25" s="1"/>
  <c r="M44" i="25" s="1"/>
  <c r="M45" i="25" s="1"/>
  <c r="M46" i="25" s="1"/>
  <c r="M47" i="25" s="1"/>
  <c r="M48" i="25" s="1"/>
  <c r="M49" i="25" s="1"/>
  <c r="M50" i="25" s="1"/>
  <c r="M51" i="25" s="1"/>
  <c r="M52" i="25" s="1"/>
  <c r="M53" i="25" s="1"/>
  <c r="M54" i="25" s="1"/>
  <c r="M55" i="25" s="1"/>
  <c r="M56" i="25" s="1"/>
  <c r="M57" i="25" s="1"/>
  <c r="M58" i="25" s="1"/>
  <c r="M59" i="25" s="1"/>
  <c r="M60" i="25" s="1"/>
  <c r="M61" i="25" s="1"/>
  <c r="M62" i="25" s="1"/>
  <c r="M16" i="11"/>
  <c r="M17" i="11"/>
  <c r="N17" i="11"/>
  <c r="N15" i="12"/>
  <c r="N19" i="27"/>
  <c r="M15" i="18"/>
  <c r="N15" i="18"/>
  <c r="M20" i="37"/>
  <c r="N20" i="37"/>
  <c r="M15" i="35"/>
  <c r="N15" i="35"/>
  <c r="M19" i="40"/>
  <c r="M20" i="40"/>
  <c r="M21" i="40"/>
  <c r="M22" i="40"/>
  <c r="M23" i="40" s="1"/>
  <c r="N23" i="40" s="1"/>
  <c r="M15" i="42"/>
  <c r="N15" i="42"/>
  <c r="M14" i="36"/>
  <c r="N14" i="36"/>
  <c r="M14" i="33"/>
  <c r="N14" i="33"/>
  <c r="O11" i="9"/>
  <c r="N14" i="41"/>
  <c r="M21" i="32"/>
  <c r="M22" i="32"/>
  <c r="N22" i="32" s="1"/>
  <c r="M21" i="27"/>
  <c r="N21" i="27"/>
  <c r="M19" i="20"/>
  <c r="M20" i="20" s="1"/>
  <c r="N20" i="20" s="1"/>
  <c r="N13" i="35"/>
  <c r="M14" i="28"/>
  <c r="M15" i="28"/>
  <c r="N15" i="28"/>
  <c r="N15" i="38" l="1"/>
  <c r="M13" i="50"/>
  <c r="N12" i="50"/>
  <c r="N11" i="52"/>
  <c r="M12" i="52"/>
  <c r="N28" i="53"/>
  <c r="N30" i="53"/>
  <c r="N31" i="53"/>
  <c r="N29" i="53"/>
  <c r="M33" i="53"/>
  <c r="M34" i="53"/>
  <c r="M35" i="53" s="1"/>
  <c r="M36" i="53" s="1"/>
  <c r="N36" i="53" s="1"/>
  <c r="M23" i="51"/>
  <c r="N23" i="51"/>
  <c r="M28" i="49"/>
  <c r="M29" i="49"/>
  <c r="N29" i="49"/>
  <c r="N14" i="31"/>
  <c r="M15" i="31"/>
  <c r="M12" i="39"/>
  <c r="N11" i="39"/>
  <c r="N13" i="21"/>
  <c r="M14" i="21"/>
  <c r="N11" i="29"/>
  <c r="M12" i="29"/>
  <c r="N18" i="44"/>
  <c r="N20" i="26"/>
  <c r="M20" i="44"/>
  <c r="M21" i="44"/>
  <c r="N21" i="44"/>
  <c r="N19" i="26"/>
  <c r="M22" i="26"/>
  <c r="M23" i="26"/>
  <c r="N23" i="26"/>
  <c r="N18" i="26"/>
  <c r="M16" i="3"/>
  <c r="N16" i="3" s="1"/>
  <c r="M12" i="14"/>
  <c r="N11" i="14"/>
  <c r="M12" i="22"/>
  <c r="N11" i="22"/>
  <c r="M21" i="34"/>
  <c r="N21" i="34"/>
  <c r="N18" i="34"/>
  <c r="N17" i="34"/>
  <c r="N14" i="34"/>
  <c r="N15" i="34"/>
  <c r="N19" i="34"/>
  <c r="N16" i="34"/>
  <c r="N23" i="12"/>
  <c r="N17" i="12"/>
  <c r="M22" i="17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N41" i="17" s="1"/>
  <c r="N22" i="40"/>
  <c r="N20" i="17"/>
  <c r="M19" i="38"/>
  <c r="M20" i="38"/>
  <c r="M21" i="38"/>
  <c r="N21" i="38"/>
  <c r="N19" i="20"/>
  <c r="N24" i="12"/>
  <c r="N16" i="11"/>
  <c r="M15" i="33"/>
  <c r="N15" i="33"/>
  <c r="N14" i="28"/>
  <c r="N17" i="38"/>
  <c r="N16" i="38"/>
  <c r="N19" i="40"/>
  <c r="M16" i="28"/>
  <c r="N16" i="28"/>
  <c r="M16" i="35"/>
  <c r="N16" i="35"/>
  <c r="M16" i="23"/>
  <c r="M17" i="23"/>
  <c r="M18" i="23"/>
  <c r="M19" i="23"/>
  <c r="M20" i="23"/>
  <c r="N20" i="23"/>
  <c r="M23" i="32"/>
  <c r="M24" i="32"/>
  <c r="M25" i="32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M40" i="32" s="1"/>
  <c r="M41" i="32" s="1"/>
  <c r="M42" i="32" s="1"/>
  <c r="M43" i="32" s="1"/>
  <c r="M44" i="32" s="1"/>
  <c r="M45" i="32" s="1"/>
  <c r="M46" i="32" s="1"/>
  <c r="M47" i="32" s="1"/>
  <c r="M48" i="32" s="1"/>
  <c r="M49" i="32" s="1"/>
  <c r="M50" i="32" s="1"/>
  <c r="M51" i="32" s="1"/>
  <c r="M52" i="32" s="1"/>
  <c r="M53" i="32" s="1"/>
  <c r="M18" i="11"/>
  <c r="M19" i="11"/>
  <c r="M20" i="11" s="1"/>
  <c r="N20" i="11" s="1"/>
  <c r="N19" i="12"/>
  <c r="M26" i="12"/>
  <c r="N26" i="12"/>
  <c r="N18" i="12"/>
  <c r="M16" i="18"/>
  <c r="N16" i="18"/>
  <c r="M24" i="40"/>
  <c r="N24" i="40"/>
  <c r="N14" i="9"/>
  <c r="N15" i="9" s="1"/>
  <c r="N16" i="9" s="1"/>
  <c r="O16" i="9" s="1"/>
  <c r="M15" i="36"/>
  <c r="N15" i="36"/>
  <c r="N21" i="40"/>
  <c r="N21" i="12"/>
  <c r="N22" i="12"/>
  <c r="M21" i="37"/>
  <c r="M22" i="37"/>
  <c r="N22" i="37"/>
  <c r="N20" i="40"/>
  <c r="M21" i="20"/>
  <c r="N21" i="20"/>
  <c r="N21" i="32"/>
  <c r="N20" i="12"/>
  <c r="M22" i="27"/>
  <c r="M23" i="27"/>
  <c r="M24" i="27"/>
  <c r="M25" i="27"/>
  <c r="M26" i="27"/>
  <c r="M27" i="27" s="1"/>
  <c r="M28" i="27" s="1"/>
  <c r="M29" i="27" s="1"/>
  <c r="M30" i="27" s="1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16" i="42"/>
  <c r="N16" i="42" s="1"/>
  <c r="M16" i="43"/>
  <c r="M17" i="43"/>
  <c r="M18" i="43"/>
  <c r="M19" i="43"/>
  <c r="N19" i="43"/>
  <c r="M17" i="41"/>
  <c r="M18" i="41"/>
  <c r="M19" i="41"/>
  <c r="M20" i="41"/>
  <c r="M21" i="41"/>
  <c r="N21" i="41"/>
  <c r="N12" i="52" l="1"/>
  <c r="M13" i="52"/>
  <c r="M14" i="50"/>
  <c r="N13" i="50"/>
  <c r="N33" i="53"/>
  <c r="N35" i="53"/>
  <c r="M37" i="53"/>
  <c r="N37" i="53"/>
  <c r="N34" i="53"/>
  <c r="M24" i="51"/>
  <c r="N24" i="51" s="1"/>
  <c r="N28" i="49"/>
  <c r="M30" i="49"/>
  <c r="N30" i="49"/>
  <c r="M13" i="39"/>
  <c r="N12" i="39"/>
  <c r="M16" i="31"/>
  <c r="N15" i="31"/>
  <c r="N23" i="17"/>
  <c r="N12" i="29"/>
  <c r="M13" i="29"/>
  <c r="M15" i="21"/>
  <c r="N14" i="21"/>
  <c r="M42" i="17"/>
  <c r="N42" i="17"/>
  <c r="M17" i="3"/>
  <c r="M18" i="3"/>
  <c r="N18" i="3"/>
  <c r="M24" i="26"/>
  <c r="N24" i="26"/>
  <c r="M22" i="44"/>
  <c r="M23" i="44" s="1"/>
  <c r="N23" i="44" s="1"/>
  <c r="N20" i="44"/>
  <c r="N22" i="26"/>
  <c r="N31" i="17"/>
  <c r="N25" i="17"/>
  <c r="N27" i="17"/>
  <c r="N29" i="17"/>
  <c r="N32" i="17"/>
  <c r="N40" i="17"/>
  <c r="N24" i="17"/>
  <c r="N26" i="17"/>
  <c r="N28" i="17"/>
  <c r="N30" i="17"/>
  <c r="N33" i="17"/>
  <c r="N34" i="17"/>
  <c r="N35" i="17"/>
  <c r="N36" i="17"/>
  <c r="N37" i="17"/>
  <c r="N38" i="17"/>
  <c r="N39" i="17"/>
  <c r="M13" i="22"/>
  <c r="N12" i="22"/>
  <c r="M13" i="14"/>
  <c r="N12" i="14"/>
  <c r="M22" i="34"/>
  <c r="N22" i="34"/>
  <c r="N23" i="32"/>
  <c r="M17" i="18"/>
  <c r="N17" i="18"/>
  <c r="N22" i="27"/>
  <c r="N17" i="41"/>
  <c r="N17" i="43"/>
  <c r="N23" i="27"/>
  <c r="N18" i="43"/>
  <c r="N19" i="23"/>
  <c r="N16" i="23"/>
  <c r="N17" i="23"/>
  <c r="N17" i="9"/>
  <c r="N18" i="9"/>
  <c r="N19" i="9" s="1"/>
  <c r="N20" i="9" s="1"/>
  <c r="O20" i="9" s="1"/>
  <c r="M27" i="12"/>
  <c r="M28" i="12"/>
  <c r="M29" i="12"/>
  <c r="M30" i="12"/>
  <c r="M31" i="12"/>
  <c r="M32" i="12" s="1"/>
  <c r="M33" i="12" s="1"/>
  <c r="N33" i="12" s="1"/>
  <c r="M22" i="38"/>
  <c r="N22" i="38" s="1"/>
  <c r="O15" i="9"/>
  <c r="M16" i="36"/>
  <c r="M17" i="36"/>
  <c r="M18" i="36" s="1"/>
  <c r="M19" i="36" s="1"/>
  <c r="M20" i="36" s="1"/>
  <c r="M21" i="36" s="1"/>
  <c r="M22" i="36" s="1"/>
  <c r="N22" i="36" s="1"/>
  <c r="N19" i="38"/>
  <c r="M22" i="20"/>
  <c r="M23" i="20" s="1"/>
  <c r="N23" i="20" s="1"/>
  <c r="O14" i="9"/>
  <c r="M20" i="43"/>
  <c r="M21" i="43"/>
  <c r="N21" i="43"/>
  <c r="N20" i="38"/>
  <c r="M17" i="28"/>
  <c r="N17" i="28"/>
  <c r="M17" i="35"/>
  <c r="N17" i="35"/>
  <c r="M17" i="42"/>
  <c r="N17" i="42"/>
  <c r="N16" i="43"/>
  <c r="N19" i="11"/>
  <c r="N18" i="11"/>
  <c r="M25" i="40"/>
  <c r="M26" i="40"/>
  <c r="N26" i="40"/>
  <c r="N21" i="37"/>
  <c r="N19" i="41"/>
  <c r="N22" i="17"/>
  <c r="N18" i="41"/>
  <c r="M23" i="37"/>
  <c r="M24" i="37"/>
  <c r="M25" i="37"/>
  <c r="M26" i="37"/>
  <c r="M27" i="37"/>
  <c r="M28" i="37"/>
  <c r="M29" i="37"/>
  <c r="M30" i="37"/>
  <c r="M31" i="37"/>
  <c r="M32" i="37" s="1"/>
  <c r="M33" i="37" s="1"/>
  <c r="M34" i="37" s="1"/>
  <c r="M35" i="37" s="1"/>
  <c r="M36" i="37" s="1"/>
  <c r="M37" i="37" s="1"/>
  <c r="M38" i="37" s="1"/>
  <c r="M39" i="37" s="1"/>
  <c r="M40" i="37" s="1"/>
  <c r="M21" i="23"/>
  <c r="M22" i="23"/>
  <c r="N23" i="23"/>
  <c r="M21" i="11"/>
  <c r="N21" i="11"/>
  <c r="M16" i="33"/>
  <c r="N16" i="33" s="1"/>
  <c r="N20" i="41"/>
  <c r="M22" i="41"/>
  <c r="N22" i="41"/>
  <c r="N18" i="23"/>
  <c r="M14" i="52" l="1"/>
  <c r="N13" i="52"/>
  <c r="M15" i="50"/>
  <c r="N14" i="50"/>
  <c r="M38" i="53"/>
  <c r="M39" i="53"/>
  <c r="M40" i="53"/>
  <c r="M41" i="53"/>
  <c r="M42" i="53"/>
  <c r="N42" i="53"/>
  <c r="M25" i="51"/>
  <c r="M26" i="51"/>
  <c r="M27" i="51" s="1"/>
  <c r="M28" i="51" s="1"/>
  <c r="M29" i="51" s="1"/>
  <c r="N29" i="51" s="1"/>
  <c r="M31" i="49"/>
  <c r="M32" i="49"/>
  <c r="N32" i="49"/>
  <c r="N13" i="39"/>
  <c r="M14" i="39"/>
  <c r="N16" i="31"/>
  <c r="M17" i="31"/>
  <c r="M16" i="21"/>
  <c r="N15" i="21"/>
  <c r="N13" i="29"/>
  <c r="M14" i="29"/>
  <c r="N17" i="3"/>
  <c r="M25" i="26"/>
  <c r="N25" i="26"/>
  <c r="M43" i="17"/>
  <c r="N43" i="17"/>
  <c r="M24" i="44"/>
  <c r="N24" i="44"/>
  <c r="M19" i="3"/>
  <c r="M20" i="3" s="1"/>
  <c r="M21" i="3" s="1"/>
  <c r="M22" i="3" s="1"/>
  <c r="M23" i="3" s="1"/>
  <c r="M24" i="3" s="1"/>
  <c r="N24" i="3" s="1"/>
  <c r="N22" i="44"/>
  <c r="N13" i="14"/>
  <c r="M14" i="14"/>
  <c r="M14" i="22"/>
  <c r="N13" i="22"/>
  <c r="M23" i="34"/>
  <c r="M24" i="34"/>
  <c r="M25" i="34"/>
  <c r="M26" i="34"/>
  <c r="M27" i="34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N30" i="12"/>
  <c r="N21" i="36"/>
  <c r="O19" i="9"/>
  <c r="M17" i="33"/>
  <c r="M18" i="33"/>
  <c r="N18" i="33"/>
  <c r="N22" i="23"/>
  <c r="N23" i="37"/>
  <c r="M18" i="28"/>
  <c r="N18" i="28"/>
  <c r="M24" i="23"/>
  <c r="N24" i="23" s="1"/>
  <c r="M25" i="23"/>
  <c r="N25" i="23"/>
  <c r="M18" i="42"/>
  <c r="N18" i="42"/>
  <c r="M22" i="11"/>
  <c r="M23" i="11"/>
  <c r="M24" i="11"/>
  <c r="M25" i="11" s="1"/>
  <c r="N25" i="11" s="1"/>
  <c r="N32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N45" i="12"/>
  <c r="M27" i="40"/>
  <c r="N27" i="40"/>
  <c r="N20" i="36"/>
  <c r="M22" i="43"/>
  <c r="M23" i="43"/>
  <c r="M24" i="43"/>
  <c r="N24" i="43"/>
  <c r="N22" i="20"/>
  <c r="N17" i="36"/>
  <c r="O17" i="9"/>
  <c r="N28" i="12"/>
  <c r="O18" i="9"/>
  <c r="N25" i="40"/>
  <c r="M23" i="41"/>
  <c r="N23" i="41"/>
  <c r="N21" i="23"/>
  <c r="N16" i="36"/>
  <c r="N31" i="12"/>
  <c r="M18" i="18"/>
  <c r="N18" i="18"/>
  <c r="N19" i="36"/>
  <c r="N18" i="36"/>
  <c r="N27" i="12"/>
  <c r="M18" i="35"/>
  <c r="N18" i="35"/>
  <c r="N21" i="9"/>
  <c r="O21" i="9"/>
  <c r="M23" i="36"/>
  <c r="N23" i="36"/>
  <c r="M23" i="38"/>
  <c r="N23" i="38"/>
  <c r="N29" i="12"/>
  <c r="N20" i="43"/>
  <c r="M16" i="50" l="1"/>
  <c r="N15" i="50"/>
  <c r="M15" i="52"/>
  <c r="N14" i="52"/>
  <c r="N38" i="53"/>
  <c r="M43" i="53"/>
  <c r="M44" i="53"/>
  <c r="M45" i="53"/>
  <c r="M46" i="53" s="1"/>
  <c r="M47" i="53" s="1"/>
  <c r="M48" i="53" s="1"/>
  <c r="M49" i="53" s="1"/>
  <c r="M50" i="53" s="1"/>
  <c r="M51" i="53" s="1"/>
  <c r="M52" i="53" s="1"/>
  <c r="M53" i="53" s="1"/>
  <c r="N40" i="53"/>
  <c r="N39" i="53"/>
  <c r="N41" i="53"/>
  <c r="N26" i="51"/>
  <c r="N28" i="51"/>
  <c r="M30" i="51"/>
  <c r="M31" i="51"/>
  <c r="N31" i="51"/>
  <c r="N27" i="51"/>
  <c r="N25" i="51"/>
  <c r="N31" i="49"/>
  <c r="M33" i="49"/>
  <c r="M34" i="49"/>
  <c r="M35" i="49"/>
  <c r="N35" i="49"/>
  <c r="N14" i="39"/>
  <c r="M15" i="39"/>
  <c r="M26" i="23"/>
  <c r="N17" i="31"/>
  <c r="M18" i="31"/>
  <c r="N14" i="29"/>
  <c r="M15" i="29"/>
  <c r="N16" i="21"/>
  <c r="M17" i="21"/>
  <c r="N22" i="3"/>
  <c r="N20" i="3"/>
  <c r="N21" i="3"/>
  <c r="N19" i="3"/>
  <c r="M44" i="17"/>
  <c r="N44" i="17"/>
  <c r="M25" i="3"/>
  <c r="N25" i="3" s="1"/>
  <c r="M26" i="26"/>
  <c r="N26" i="26"/>
  <c r="M25" i="44"/>
  <c r="M26" i="44"/>
  <c r="N26" i="44"/>
  <c r="N23" i="3"/>
  <c r="M15" i="22"/>
  <c r="N14" i="22"/>
  <c r="M15" i="14"/>
  <c r="N14" i="14"/>
  <c r="N23" i="34"/>
  <c r="M19" i="18"/>
  <c r="M20" i="18"/>
  <c r="M21" i="18"/>
  <c r="N21" i="18"/>
  <c r="M24" i="38"/>
  <c r="M25" i="38"/>
  <c r="M26" i="38"/>
  <c r="M27" i="38"/>
  <c r="M28" i="38"/>
  <c r="M29" i="38"/>
  <c r="M30" i="38"/>
  <c r="M31" i="38"/>
  <c r="M32" i="38"/>
  <c r="M33" i="38"/>
  <c r="M34" i="38" s="1"/>
  <c r="M35" i="38" s="1"/>
  <c r="M36" i="38" s="1"/>
  <c r="M37" i="38" s="1"/>
  <c r="M38" i="38" s="1"/>
  <c r="M39" i="38" s="1"/>
  <c r="M40" i="38" s="1"/>
  <c r="M41" i="38" s="1"/>
  <c r="M42" i="38" s="1"/>
  <c r="M43" i="38" s="1"/>
  <c r="M44" i="38" s="1"/>
  <c r="M45" i="38" s="1"/>
  <c r="M46" i="38" s="1"/>
  <c r="M47" i="38" s="1"/>
  <c r="M48" i="38" s="1"/>
  <c r="M49" i="38" s="1"/>
  <c r="M50" i="38" s="1"/>
  <c r="M51" i="38" s="1"/>
  <c r="M52" i="38" s="1"/>
  <c r="M53" i="38" s="1"/>
  <c r="N24" i="11"/>
  <c r="N22" i="9"/>
  <c r="N23" i="9"/>
  <c r="O23" i="9"/>
  <c r="N44" i="12"/>
  <c r="N40" i="12"/>
  <c r="M24" i="41"/>
  <c r="M25" i="41"/>
  <c r="N25" i="41" s="1"/>
  <c r="N34" i="12"/>
  <c r="M19" i="42"/>
  <c r="M20" i="42"/>
  <c r="M21" i="42"/>
  <c r="N21" i="42" s="1"/>
  <c r="N38" i="12"/>
  <c r="N37" i="12"/>
  <c r="N41" i="12"/>
  <c r="M24" i="36"/>
  <c r="M25" i="36"/>
  <c r="M26" i="36"/>
  <c r="M27" i="36"/>
  <c r="M28" i="36"/>
  <c r="M29" i="36"/>
  <c r="M30" i="36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25" i="43"/>
  <c r="N25" i="43"/>
  <c r="M19" i="35"/>
  <c r="M20" i="35"/>
  <c r="M21" i="35"/>
  <c r="M22" i="35"/>
  <c r="N22" i="35"/>
  <c r="N39" i="12"/>
  <c r="M28" i="40"/>
  <c r="N28" i="40"/>
  <c r="N23" i="43"/>
  <c r="N42" i="12"/>
  <c r="M19" i="33"/>
  <c r="M20" i="33"/>
  <c r="M21" i="33"/>
  <c r="N21" i="33"/>
  <c r="N35" i="12"/>
  <c r="N22" i="43"/>
  <c r="N36" i="12"/>
  <c r="N43" i="12"/>
  <c r="N23" i="11"/>
  <c r="N17" i="33"/>
  <c r="M19" i="28"/>
  <c r="N19" i="28" s="1"/>
  <c r="N22" i="11"/>
  <c r="M46" i="12"/>
  <c r="N46" i="12"/>
  <c r="N15" i="52" l="1"/>
  <c r="M16" i="52"/>
  <c r="M17" i="50"/>
  <c r="N16" i="50"/>
  <c r="N43" i="53"/>
  <c r="N30" i="51"/>
  <c r="M32" i="51"/>
  <c r="M33" i="51"/>
  <c r="M34" i="51"/>
  <c r="M35" i="51" s="1"/>
  <c r="M36" i="51" s="1"/>
  <c r="N36" i="51" s="1"/>
  <c r="N33" i="49"/>
  <c r="M36" i="49"/>
  <c r="M37" i="49"/>
  <c r="M38" i="49"/>
  <c r="N38" i="49"/>
  <c r="N34" i="49"/>
  <c r="N18" i="31"/>
  <c r="M19" i="31"/>
  <c r="N26" i="23"/>
  <c r="M27" i="23"/>
  <c r="N15" i="39"/>
  <c r="M16" i="39"/>
  <c r="N17" i="21"/>
  <c r="M18" i="21"/>
  <c r="M16" i="29"/>
  <c r="N15" i="29"/>
  <c r="M27" i="26"/>
  <c r="N27" i="26"/>
  <c r="M27" i="44"/>
  <c r="M28" i="44"/>
  <c r="N28" i="44"/>
  <c r="M45" i="17"/>
  <c r="N45" i="17"/>
  <c r="N25" i="44"/>
  <c r="M26" i="3"/>
  <c r="N26" i="3"/>
  <c r="M16" i="14"/>
  <c r="N15" i="14"/>
  <c r="N15" i="22"/>
  <c r="M16" i="22"/>
  <c r="M29" i="40"/>
  <c r="N29" i="40"/>
  <c r="M26" i="41"/>
  <c r="N26" i="41"/>
  <c r="O22" i="9"/>
  <c r="N20" i="42"/>
  <c r="M47" i="12"/>
  <c r="N47" i="12"/>
  <c r="M22" i="18"/>
  <c r="N22" i="18"/>
  <c r="M23" i="35"/>
  <c r="M24" i="35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N24" i="9"/>
  <c r="O24" i="9"/>
  <c r="M22" i="33"/>
  <c r="N22" i="33"/>
  <c r="N20" i="33"/>
  <c r="N19" i="18"/>
  <c r="M26" i="43"/>
  <c r="M27" i="43"/>
  <c r="N27" i="43"/>
  <c r="N21" i="35"/>
  <c r="N19" i="35"/>
  <c r="M20" i="28"/>
  <c r="N20" i="28"/>
  <c r="N19" i="33"/>
  <c r="N20" i="35"/>
  <c r="N24" i="41"/>
  <c r="M22" i="42"/>
  <c r="M23" i="42"/>
  <c r="M24" i="42"/>
  <c r="M25" i="42"/>
  <c r="M26" i="42"/>
  <c r="M27" i="42"/>
  <c r="N27" i="42"/>
  <c r="N19" i="42"/>
  <c r="N20" i="18"/>
  <c r="M18" i="50" l="1"/>
  <c r="N17" i="50"/>
  <c r="N16" i="52"/>
  <c r="M17" i="52"/>
  <c r="N32" i="51"/>
  <c r="N34" i="51"/>
  <c r="M37" i="51"/>
  <c r="M38" i="51"/>
  <c r="N38" i="51"/>
  <c r="N33" i="51"/>
  <c r="N35" i="51"/>
  <c r="N36" i="49"/>
  <c r="N37" i="49"/>
  <c r="M39" i="49"/>
  <c r="M40" i="49"/>
  <c r="M41" i="49"/>
  <c r="M42" i="49" s="1"/>
  <c r="N42" i="49" s="1"/>
  <c r="N19" i="31"/>
  <c r="M20" i="31"/>
  <c r="N27" i="23"/>
  <c r="M28" i="23"/>
  <c r="M17" i="39"/>
  <c r="N16" i="39"/>
  <c r="M17" i="29"/>
  <c r="N16" i="29"/>
  <c r="N18" i="21"/>
  <c r="M19" i="21"/>
  <c r="M28" i="26"/>
  <c r="N28" i="26"/>
  <c r="M46" i="17"/>
  <c r="N46" i="17"/>
  <c r="M29" i="44"/>
  <c r="M30" i="44"/>
  <c r="M31" i="44"/>
  <c r="N31" i="44" s="1"/>
  <c r="M27" i="3"/>
  <c r="M28" i="3"/>
  <c r="M29" i="3"/>
  <c r="N29" i="3"/>
  <c r="N27" i="44"/>
  <c r="M17" i="22"/>
  <c r="N16" i="22"/>
  <c r="N16" i="14"/>
  <c r="M17" i="14"/>
  <c r="N25" i="42"/>
  <c r="M23" i="33"/>
  <c r="M24" i="33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 s="1"/>
  <c r="M45" i="33" s="1"/>
  <c r="M46" i="33" s="1"/>
  <c r="M47" i="33" s="1"/>
  <c r="M48" i="33" s="1"/>
  <c r="M49" i="33" s="1"/>
  <c r="M50" i="33" s="1"/>
  <c r="M51" i="33" s="1"/>
  <c r="M52" i="33" s="1"/>
  <c r="M53" i="33" s="1"/>
  <c r="M30" i="40"/>
  <c r="M31" i="40" s="1"/>
  <c r="M32" i="40" s="1"/>
  <c r="M33" i="40" s="1"/>
  <c r="M34" i="40" s="1"/>
  <c r="N34" i="40" s="1"/>
  <c r="N26" i="43"/>
  <c r="M28" i="43"/>
  <c r="N28" i="43" s="1"/>
  <c r="N26" i="42"/>
  <c r="N23" i="35"/>
  <c r="N22" i="42"/>
  <c r="N25" i="9"/>
  <c r="O25" i="9" s="1"/>
  <c r="M28" i="42"/>
  <c r="N28" i="42"/>
  <c r="N23" i="42"/>
  <c r="M21" i="28"/>
  <c r="N21" i="28"/>
  <c r="M23" i="18"/>
  <c r="N23" i="18" s="1"/>
  <c r="M48" i="12"/>
  <c r="N48" i="12"/>
  <c r="N24" i="42"/>
  <c r="M27" i="41"/>
  <c r="N27" i="41"/>
  <c r="M18" i="52" l="1"/>
  <c r="N17" i="52"/>
  <c r="N18" i="50"/>
  <c r="M19" i="50"/>
  <c r="M39" i="51"/>
  <c r="M40" i="51"/>
  <c r="M41" i="51"/>
  <c r="M42" i="51"/>
  <c r="N42" i="51"/>
  <c r="N37" i="51"/>
  <c r="N41" i="49"/>
  <c r="N39" i="49"/>
  <c r="N40" i="49"/>
  <c r="M43" i="49"/>
  <c r="M44" i="49" s="1"/>
  <c r="M45" i="49" s="1"/>
  <c r="M46" i="49" s="1"/>
  <c r="M47" i="49" s="1"/>
  <c r="M48" i="49" s="1"/>
  <c r="M49" i="49" s="1"/>
  <c r="M50" i="49" s="1"/>
  <c r="M51" i="49" s="1"/>
  <c r="M52" i="49" s="1"/>
  <c r="M53" i="49" s="1"/>
  <c r="N43" i="49"/>
  <c r="N17" i="39"/>
  <c r="M18" i="39"/>
  <c r="N28" i="23"/>
  <c r="M29" i="23"/>
  <c r="M21" i="31"/>
  <c r="N20" i="31"/>
  <c r="M20" i="21"/>
  <c r="N19" i="21"/>
  <c r="M18" i="29"/>
  <c r="N17" i="29"/>
  <c r="M32" i="44"/>
  <c r="M33" i="44"/>
  <c r="M34" i="44"/>
  <c r="N34" i="44"/>
  <c r="N29" i="44"/>
  <c r="N30" i="44"/>
  <c r="M29" i="26"/>
  <c r="N29" i="26" s="1"/>
  <c r="N27" i="3"/>
  <c r="M30" i="3"/>
  <c r="N30" i="3"/>
  <c r="N28" i="3"/>
  <c r="M47" i="17"/>
  <c r="N47" i="17"/>
  <c r="N17" i="14"/>
  <c r="M18" i="14"/>
  <c r="N17" i="22"/>
  <c r="M18" i="22"/>
  <c r="N23" i="33"/>
  <c r="M29" i="42"/>
  <c r="M30" i="42" s="1"/>
  <c r="M31" i="42" s="1"/>
  <c r="M32" i="42" s="1"/>
  <c r="M33" i="42" s="1"/>
  <c r="M34" i="42" s="1"/>
  <c r="M35" i="42" s="1"/>
  <c r="M36" i="42" s="1"/>
  <c r="M37" i="42" s="1"/>
  <c r="N37" i="42" s="1"/>
  <c r="M24" i="18"/>
  <c r="N24" i="18"/>
  <c r="N31" i="40"/>
  <c r="M35" i="40"/>
  <c r="N35" i="40"/>
  <c r="N32" i="40"/>
  <c r="M22" i="28"/>
  <c r="N22" i="28"/>
  <c r="M28" i="41"/>
  <c r="M29" i="41"/>
  <c r="M30" i="41" s="1"/>
  <c r="M31" i="41" s="1"/>
  <c r="N31" i="41" s="1"/>
  <c r="M29" i="43"/>
  <c r="N29" i="43"/>
  <c r="N30" i="40"/>
  <c r="N26" i="9"/>
  <c r="O26" i="9"/>
  <c r="N33" i="40"/>
  <c r="M49" i="12"/>
  <c r="N49" i="12"/>
  <c r="N19" i="50" l="1"/>
  <c r="M20" i="50"/>
  <c r="M19" i="52"/>
  <c r="N18" i="52"/>
  <c r="N41" i="51"/>
  <c r="N39" i="51"/>
  <c r="N40" i="51"/>
  <c r="M43" i="51"/>
  <c r="M44" i="51"/>
  <c r="M45" i="51"/>
  <c r="M46" i="51"/>
  <c r="M47" i="51"/>
  <c r="M48" i="51"/>
  <c r="M49" i="51"/>
  <c r="M50" i="51"/>
  <c r="M51" i="51" s="1"/>
  <c r="M52" i="51" s="1"/>
  <c r="M53" i="51" s="1"/>
  <c r="M22" i="31"/>
  <c r="N21" i="31"/>
  <c r="N29" i="23"/>
  <c r="M30" i="23"/>
  <c r="M19" i="39"/>
  <c r="N18" i="39"/>
  <c r="N18" i="29"/>
  <c r="M19" i="29"/>
  <c r="M21" i="21"/>
  <c r="N20" i="21"/>
  <c r="M30" i="26"/>
  <c r="N30" i="26" s="1"/>
  <c r="N33" i="44"/>
  <c r="N32" i="44"/>
  <c r="M31" i="3"/>
  <c r="N31" i="3"/>
  <c r="M35" i="44"/>
  <c r="N35" i="44"/>
  <c r="M48" i="17"/>
  <c r="N48" i="17"/>
  <c r="M19" i="14"/>
  <c r="N18" i="14"/>
  <c r="M19" i="22"/>
  <c r="N18" i="22"/>
  <c r="N33" i="42"/>
  <c r="N31" i="42"/>
  <c r="M23" i="28"/>
  <c r="N23" i="28" s="1"/>
  <c r="M38" i="42"/>
  <c r="M39" i="42"/>
  <c r="N39" i="42"/>
  <c r="N28" i="41"/>
  <c r="M25" i="18"/>
  <c r="N25" i="18"/>
  <c r="M36" i="40"/>
  <c r="M37" i="40"/>
  <c r="N37" i="40"/>
  <c r="M50" i="12"/>
  <c r="N50" i="12"/>
  <c r="N36" i="42"/>
  <c r="N27" i="9"/>
  <c r="O27" i="9"/>
  <c r="N34" i="42"/>
  <c r="M30" i="43"/>
  <c r="M31" i="43"/>
  <c r="N31" i="43"/>
  <c r="N30" i="42"/>
  <c r="N30" i="41"/>
  <c r="M32" i="41"/>
  <c r="N32" i="41"/>
  <c r="N29" i="41"/>
  <c r="N32" i="42"/>
  <c r="N35" i="42"/>
  <c r="N29" i="42"/>
  <c r="N19" i="52" l="1"/>
  <c r="M20" i="52"/>
  <c r="N20" i="50"/>
  <c r="M21" i="50"/>
  <c r="N43" i="51"/>
  <c r="M23" i="31"/>
  <c r="N22" i="31"/>
  <c r="N19" i="39"/>
  <c r="M20" i="39"/>
  <c r="N30" i="23"/>
  <c r="M31" i="23"/>
  <c r="M22" i="21"/>
  <c r="N21" i="21"/>
  <c r="M20" i="29"/>
  <c r="N19" i="29"/>
  <c r="M49" i="17"/>
  <c r="N49" i="17" s="1"/>
  <c r="M31" i="26"/>
  <c r="N31" i="26"/>
  <c r="M36" i="44"/>
  <c r="M37" i="44"/>
  <c r="M38" i="44" s="1"/>
  <c r="N38" i="44" s="1"/>
  <c r="M32" i="3"/>
  <c r="M33" i="3"/>
  <c r="M34" i="3"/>
  <c r="N34" i="3" s="1"/>
  <c r="N19" i="22"/>
  <c r="M20" i="22"/>
  <c r="N19" i="14"/>
  <c r="M20" i="14"/>
  <c r="M38" i="40"/>
  <c r="N38" i="40" s="1"/>
  <c r="M32" i="43"/>
  <c r="M33" i="43"/>
  <c r="N33" i="43"/>
  <c r="N28" i="9"/>
  <c r="O28" i="9"/>
  <c r="N36" i="40"/>
  <c r="N30" i="43"/>
  <c r="M40" i="42"/>
  <c r="N40" i="42"/>
  <c r="M33" i="41"/>
  <c r="M34" i="41" s="1"/>
  <c r="N34" i="41" s="1"/>
  <c r="M24" i="28"/>
  <c r="M25" i="28"/>
  <c r="M26" i="28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N38" i="42"/>
  <c r="M26" i="18"/>
  <c r="M27" i="18" s="1"/>
  <c r="N27" i="18" s="1"/>
  <c r="M51" i="12"/>
  <c r="M52" i="12"/>
  <c r="N52" i="12" s="1"/>
  <c r="N20" i="52" l="1"/>
  <c r="M21" i="52"/>
  <c r="M22" i="50"/>
  <c r="N21" i="50"/>
  <c r="N31" i="23"/>
  <c r="M32" i="23"/>
  <c r="M21" i="39"/>
  <c r="N20" i="39"/>
  <c r="N23" i="31"/>
  <c r="M24" i="31"/>
  <c r="M21" i="29"/>
  <c r="N20" i="29"/>
  <c r="M23" i="21"/>
  <c r="N22" i="21"/>
  <c r="M32" i="26"/>
  <c r="N32" i="26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 s="1"/>
  <c r="M49" i="3" s="1"/>
  <c r="N49" i="3" s="1"/>
  <c r="N37" i="44"/>
  <c r="N33" i="3"/>
  <c r="M39" i="44"/>
  <c r="M40" i="44"/>
  <c r="N40" i="44"/>
  <c r="N36" i="44"/>
  <c r="N32" i="3"/>
  <c r="N20" i="14"/>
  <c r="M21" i="14"/>
  <c r="N20" i="22"/>
  <c r="M21" i="22"/>
  <c r="N26" i="18"/>
  <c r="M39" i="40"/>
  <c r="N39" i="40"/>
  <c r="N29" i="9"/>
  <c r="O29" i="9"/>
  <c r="M53" i="12"/>
  <c r="M54" i="12" s="1"/>
  <c r="M55" i="12" s="1"/>
  <c r="N55" i="12" s="1"/>
  <c r="N51" i="12"/>
  <c r="N33" i="41"/>
  <c r="M28" i="18"/>
  <c r="M29" i="18"/>
  <c r="M30" i="18"/>
  <c r="N30" i="18"/>
  <c r="N32" i="43"/>
  <c r="M41" i="42"/>
  <c r="M42" i="42"/>
  <c r="N42" i="42"/>
  <c r="M34" i="43"/>
  <c r="M35" i="43"/>
  <c r="M36" i="43"/>
  <c r="N36" i="43" s="1"/>
  <c r="M35" i="41"/>
  <c r="N35" i="41"/>
  <c r="M22" i="52" l="1"/>
  <c r="N21" i="52"/>
  <c r="M23" i="50"/>
  <c r="N22" i="50"/>
  <c r="N24" i="31"/>
  <c r="M25" i="31"/>
  <c r="N21" i="39"/>
  <c r="M22" i="39"/>
  <c r="N32" i="23"/>
  <c r="M33" i="23"/>
  <c r="M24" i="21"/>
  <c r="N23" i="21"/>
  <c r="N21" i="29"/>
  <c r="M22" i="29"/>
  <c r="N39" i="3"/>
  <c r="N48" i="3"/>
  <c r="N44" i="3"/>
  <c r="N40" i="3"/>
  <c r="N47" i="3"/>
  <c r="N45" i="3"/>
  <c r="N36" i="3"/>
  <c r="N46" i="3"/>
  <c r="N41" i="3"/>
  <c r="N38" i="3"/>
  <c r="M41" i="44"/>
  <c r="M42" i="44"/>
  <c r="N42" i="44"/>
  <c r="M33" i="26"/>
  <c r="N33" i="26"/>
  <c r="N35" i="3"/>
  <c r="N43" i="3"/>
  <c r="N39" i="44"/>
  <c r="N37" i="3"/>
  <c r="N42" i="3"/>
  <c r="M22" i="22"/>
  <c r="N21" i="22"/>
  <c r="M22" i="14"/>
  <c r="N21" i="14"/>
  <c r="M31" i="18"/>
  <c r="M32" i="18"/>
  <c r="M33" i="18"/>
  <c r="N33" i="18"/>
  <c r="N30" i="9"/>
  <c r="O30" i="9"/>
  <c r="N29" i="18"/>
  <c r="M56" i="12"/>
  <c r="M57" i="12"/>
  <c r="M58" i="12"/>
  <c r="N58" i="12" s="1"/>
  <c r="N54" i="12"/>
  <c r="N34" i="43"/>
  <c r="N41" i="42"/>
  <c r="M37" i="43"/>
  <c r="M38" i="43"/>
  <c r="M39" i="43"/>
  <c r="M40" i="43"/>
  <c r="N40" i="43"/>
  <c r="N28" i="18"/>
  <c r="N35" i="43"/>
  <c r="M36" i="41"/>
  <c r="N36" i="41"/>
  <c r="N53" i="12"/>
  <c r="N23" i="50" l="1"/>
  <c r="M24" i="50"/>
  <c r="N22" i="52"/>
  <c r="M23" i="52"/>
  <c r="N33" i="23"/>
  <c r="M34" i="23"/>
  <c r="N22" i="39"/>
  <c r="M23" i="39"/>
  <c r="M26" i="31"/>
  <c r="N25" i="31"/>
  <c r="N22" i="29"/>
  <c r="M23" i="29"/>
  <c r="N24" i="21"/>
  <c r="M25" i="21"/>
  <c r="M34" i="26"/>
  <c r="N34" i="26"/>
  <c r="N41" i="44"/>
  <c r="M43" i="44"/>
  <c r="N43" i="44"/>
  <c r="N22" i="14"/>
  <c r="M23" i="14"/>
  <c r="M24" i="14"/>
  <c r="N24" i="14"/>
  <c r="N22" i="22"/>
  <c r="M23" i="22"/>
  <c r="N31" i="9"/>
  <c r="O31" i="9"/>
  <c r="N57" i="12"/>
  <c r="M37" i="41"/>
  <c r="M38" i="41"/>
  <c r="N38" i="41"/>
  <c r="N38" i="43"/>
  <c r="N31" i="18"/>
  <c r="N37" i="43"/>
  <c r="N32" i="18"/>
  <c r="M34" i="18"/>
  <c r="M35" i="18"/>
  <c r="N35" i="18"/>
  <c r="N39" i="43"/>
  <c r="M59" i="12"/>
  <c r="N59" i="12"/>
  <c r="N56" i="12"/>
  <c r="M24" i="52" l="1"/>
  <c r="N23" i="52"/>
  <c r="N24" i="50"/>
  <c r="M25" i="50"/>
  <c r="N26" i="31"/>
  <c r="M27" i="31"/>
  <c r="M24" i="39"/>
  <c r="N23" i="39"/>
  <c r="N34" i="23"/>
  <c r="M35" i="23"/>
  <c r="N25" i="21"/>
  <c r="M26" i="21"/>
  <c r="M24" i="29"/>
  <c r="M25" i="29"/>
  <c r="M26" i="29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N23" i="29"/>
  <c r="N23" i="14"/>
  <c r="M35" i="26"/>
  <c r="N35" i="26"/>
  <c r="M25" i="14"/>
  <c r="M26" i="14"/>
  <c r="M27" i="14"/>
  <c r="M28" i="14"/>
  <c r="M29" i="14"/>
  <c r="M30" i="14"/>
  <c r="M31" i="14"/>
  <c r="M32" i="14"/>
  <c r="M33" i="14"/>
  <c r="M34" i="14"/>
  <c r="M35" i="14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N50" i="14" s="1"/>
  <c r="N23" i="22"/>
  <c r="M24" i="22"/>
  <c r="N24" i="22"/>
  <c r="M25" i="22"/>
  <c r="N25" i="22"/>
  <c r="M36" i="18"/>
  <c r="M37" i="18"/>
  <c r="M38" i="18"/>
  <c r="M39" i="18"/>
  <c r="N39" i="18"/>
  <c r="M60" i="12"/>
  <c r="M61" i="12"/>
  <c r="N61" i="12"/>
  <c r="N34" i="18"/>
  <c r="N32" i="9"/>
  <c r="N33" i="9"/>
  <c r="O33" i="9" s="1"/>
  <c r="N37" i="41"/>
  <c r="M39" i="41"/>
  <c r="N39" i="41"/>
  <c r="M26" i="50" l="1"/>
  <c r="N25" i="50"/>
  <c r="M25" i="52"/>
  <c r="N24" i="52"/>
  <c r="N35" i="23"/>
  <c r="M36" i="23"/>
  <c r="M25" i="39"/>
  <c r="N24" i="39"/>
  <c r="M28" i="31"/>
  <c r="N27" i="31"/>
  <c r="N26" i="21"/>
  <c r="M27" i="21"/>
  <c r="M26" i="22"/>
  <c r="N26" i="22"/>
  <c r="M36" i="26"/>
  <c r="N36" i="26"/>
  <c r="N41" i="14"/>
  <c r="N42" i="14"/>
  <c r="N43" i="14"/>
  <c r="N44" i="14"/>
  <c r="N45" i="14"/>
  <c r="N46" i="14"/>
  <c r="N47" i="14"/>
  <c r="N48" i="14"/>
  <c r="N49" i="14"/>
  <c r="N25" i="14"/>
  <c r="N26" i="14"/>
  <c r="N38" i="14"/>
  <c r="N28" i="14"/>
  <c r="N29" i="14"/>
  <c r="N31" i="14"/>
  <c r="N32" i="14"/>
  <c r="N33" i="14"/>
  <c r="N34" i="14"/>
  <c r="N35" i="14"/>
  <c r="N36" i="14"/>
  <c r="N37" i="14"/>
  <c r="N40" i="14"/>
  <c r="N27" i="14"/>
  <c r="N30" i="14"/>
  <c r="N39" i="14"/>
  <c r="N36" i="18"/>
  <c r="N60" i="12"/>
  <c r="N34" i="9"/>
  <c r="O34" i="9"/>
  <c r="M40" i="41"/>
  <c r="N40" i="41"/>
  <c r="O32" i="9"/>
  <c r="N37" i="18"/>
  <c r="N38" i="18"/>
  <c r="M62" i="12"/>
  <c r="N62" i="12"/>
  <c r="M40" i="18"/>
  <c r="M41" i="18"/>
  <c r="M42" i="18"/>
  <c r="M43" i="18" s="1"/>
  <c r="M44" i="18" s="1"/>
  <c r="M45" i="18" s="1"/>
  <c r="N45" i="18" s="1"/>
  <c r="N26" i="50" l="1"/>
  <c r="M27" i="50"/>
  <c r="M26" i="52"/>
  <c r="N25" i="52"/>
  <c r="N28" i="31"/>
  <c r="M29" i="31"/>
  <c r="N25" i="39"/>
  <c r="M26" i="39"/>
  <c r="N36" i="23"/>
  <c r="M37" i="23"/>
  <c r="N27" i="21"/>
  <c r="M28" i="21"/>
  <c r="M27" i="22"/>
  <c r="N27" i="22"/>
  <c r="M37" i="26"/>
  <c r="N37" i="26"/>
  <c r="N40" i="18"/>
  <c r="N41" i="18"/>
  <c r="N44" i="18"/>
  <c r="N43" i="18"/>
  <c r="N42" i="18"/>
  <c r="M46" i="18"/>
  <c r="M47" i="18"/>
  <c r="N47" i="18" s="1"/>
  <c r="M41" i="41"/>
  <c r="M42" i="41"/>
  <c r="M43" i="41" s="1"/>
  <c r="N35" i="9"/>
  <c r="O35" i="9"/>
  <c r="M63" i="12"/>
  <c r="M64" i="12"/>
  <c r="M65" i="12"/>
  <c r="N65" i="12"/>
  <c r="N43" i="41" l="1"/>
  <c r="M44" i="41"/>
  <c r="M45" i="41" s="1"/>
  <c r="M46" i="41" s="1"/>
  <c r="M47" i="41" s="1"/>
  <c r="M48" i="41" s="1"/>
  <c r="M49" i="41" s="1"/>
  <c r="M50" i="41" s="1"/>
  <c r="M51" i="41" s="1"/>
  <c r="M52" i="41" s="1"/>
  <c r="M53" i="41" s="1"/>
  <c r="M27" i="52"/>
  <c r="N26" i="52"/>
  <c r="N27" i="50"/>
  <c r="M28" i="50"/>
  <c r="N37" i="23"/>
  <c r="M38" i="23"/>
  <c r="N26" i="39"/>
  <c r="M27" i="39"/>
  <c r="N29" i="31"/>
  <c r="M30" i="31"/>
  <c r="M29" i="21"/>
  <c r="N28" i="21"/>
  <c r="N64" i="12"/>
  <c r="M38" i="26"/>
  <c r="N38" i="26" s="1"/>
  <c r="M28" i="22"/>
  <c r="N28" i="22"/>
  <c r="M66" i="12"/>
  <c r="M67" i="12"/>
  <c r="M68" i="12"/>
  <c r="M69" i="12"/>
  <c r="M70" i="12"/>
  <c r="M71" i="12"/>
  <c r="M72" i="12"/>
  <c r="M73" i="12" s="1"/>
  <c r="M74" i="12" s="1"/>
  <c r="M75" i="12" s="1"/>
  <c r="M76" i="12" s="1"/>
  <c r="M77" i="12" s="1"/>
  <c r="N77" i="12" s="1"/>
  <c r="M48" i="18"/>
  <c r="M49" i="18"/>
  <c r="M50" i="18"/>
  <c r="M51" i="18"/>
  <c r="N46" i="18"/>
  <c r="N36" i="9"/>
  <c r="O36" i="9"/>
  <c r="N41" i="41"/>
  <c r="N63" i="12"/>
  <c r="N42" i="41"/>
  <c r="M28" i="52" l="1"/>
  <c r="N27" i="52"/>
  <c r="M29" i="50"/>
  <c r="N28" i="50"/>
  <c r="M31" i="31"/>
  <c r="N30" i="31"/>
  <c r="N38" i="23"/>
  <c r="M39" i="23"/>
  <c r="N27" i="39"/>
  <c r="M28" i="39"/>
  <c r="M30" i="21"/>
  <c r="N29" i="21"/>
  <c r="N68" i="12"/>
  <c r="M39" i="26"/>
  <c r="N39" i="26" s="1"/>
  <c r="N72" i="12"/>
  <c r="N67" i="12"/>
  <c r="M29" i="22"/>
  <c r="N29" i="22"/>
  <c r="N73" i="12"/>
  <c r="N71" i="12"/>
  <c r="N66" i="12"/>
  <c r="N74" i="12"/>
  <c r="N69" i="12"/>
  <c r="N70" i="12"/>
  <c r="N75" i="12"/>
  <c r="M78" i="12"/>
  <c r="N78" i="12"/>
  <c r="N76" i="12"/>
  <c r="N49" i="18"/>
  <c r="N48" i="18"/>
  <c r="N37" i="9"/>
  <c r="N38" i="9" s="1"/>
  <c r="O38" i="9" s="1"/>
  <c r="M30" i="50" l="1"/>
  <c r="N29" i="50"/>
  <c r="N28" i="52"/>
  <c r="M29" i="52"/>
  <c r="M29" i="39"/>
  <c r="N28" i="39"/>
  <c r="N39" i="23"/>
  <c r="M40" i="23"/>
  <c r="N31" i="31"/>
  <c r="M32" i="31"/>
  <c r="M31" i="21"/>
  <c r="N30" i="21"/>
  <c r="M30" i="22"/>
  <c r="N30" i="22" s="1"/>
  <c r="M40" i="26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N39" i="9"/>
  <c r="O39" i="9"/>
  <c r="O37" i="9"/>
  <c r="M30" i="52" l="1"/>
  <c r="N29" i="52"/>
  <c r="N40" i="26"/>
  <c r="M31" i="50"/>
  <c r="N30" i="50"/>
  <c r="M30" i="39"/>
  <c r="N29" i="39"/>
  <c r="N32" i="31"/>
  <c r="M33" i="31"/>
  <c r="N40" i="23"/>
  <c r="M41" i="23"/>
  <c r="M32" i="21"/>
  <c r="N31" i="21"/>
  <c r="N41" i="26"/>
  <c r="N40" i="9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O50" i="9" s="1"/>
  <c r="O40" i="9"/>
  <c r="M32" i="50" l="1"/>
  <c r="N31" i="50"/>
  <c r="M31" i="52"/>
  <c r="N30" i="52"/>
  <c r="N41" i="23"/>
  <c r="M42" i="23"/>
  <c r="M31" i="39"/>
  <c r="N30" i="39"/>
  <c r="N33" i="31"/>
  <c r="M34" i="31"/>
  <c r="M33" i="21"/>
  <c r="N32" i="21"/>
  <c r="O41" i="9"/>
  <c r="O42" i="9"/>
  <c r="O43" i="9"/>
  <c r="O44" i="9"/>
  <c r="O45" i="9"/>
  <c r="O46" i="9"/>
  <c r="O47" i="9"/>
  <c r="O48" i="9"/>
  <c r="O49" i="9"/>
  <c r="M33" i="50" l="1"/>
  <c r="N32" i="50"/>
  <c r="N31" i="52"/>
  <c r="M32" i="52"/>
  <c r="M32" i="39"/>
  <c r="N31" i="39"/>
  <c r="N34" i="31"/>
  <c r="M35" i="31"/>
  <c r="N42" i="23"/>
  <c r="M43" i="23"/>
  <c r="N33" i="21"/>
  <c r="M34" i="21"/>
  <c r="N32" i="52" l="1"/>
  <c r="M33" i="52"/>
  <c r="M34" i="50"/>
  <c r="N33" i="50"/>
  <c r="M36" i="31"/>
  <c r="N35" i="31"/>
  <c r="M33" i="39"/>
  <c r="N32" i="39"/>
  <c r="N43" i="23"/>
  <c r="M44" i="23"/>
  <c r="M35" i="21"/>
  <c r="N34" i="21"/>
  <c r="N34" i="50" l="1"/>
  <c r="M35" i="50"/>
  <c r="M34" i="52"/>
  <c r="N33" i="52"/>
  <c r="N36" i="31"/>
  <c r="M37" i="31"/>
  <c r="N44" i="23"/>
  <c r="M45" i="23"/>
  <c r="M34" i="39"/>
  <c r="N33" i="39"/>
  <c r="M36" i="21"/>
  <c r="N35" i="21"/>
  <c r="N34" i="52" l="1"/>
  <c r="M35" i="52"/>
  <c r="M36" i="50"/>
  <c r="N35" i="50"/>
  <c r="N34" i="39"/>
  <c r="M35" i="39"/>
  <c r="N45" i="23"/>
  <c r="M46" i="23"/>
  <c r="N37" i="31"/>
  <c r="M38" i="31"/>
  <c r="M37" i="21"/>
  <c r="N36" i="21"/>
  <c r="N36" i="50" l="1"/>
  <c r="M37" i="50"/>
  <c r="M36" i="52"/>
  <c r="N35" i="52"/>
  <c r="N38" i="31"/>
  <c r="M39" i="31"/>
  <c r="N46" i="23"/>
  <c r="M47" i="23"/>
  <c r="M36" i="39"/>
  <c r="N35" i="39"/>
  <c r="M38" i="21"/>
  <c r="N37" i="21"/>
  <c r="M37" i="52" l="1"/>
  <c r="N36" i="52"/>
  <c r="N37" i="50"/>
  <c r="M38" i="50"/>
  <c r="N36" i="39"/>
  <c r="M37" i="39"/>
  <c r="N47" i="23"/>
  <c r="M48" i="23"/>
  <c r="M40" i="31"/>
  <c r="N39" i="31"/>
  <c r="M39" i="21"/>
  <c r="N38" i="21"/>
  <c r="M39" i="50" l="1"/>
  <c r="N38" i="50"/>
  <c r="M38" i="52"/>
  <c r="N37" i="52"/>
  <c r="M41" i="31"/>
  <c r="N40" i="31"/>
  <c r="N37" i="39"/>
  <c r="M38" i="39"/>
  <c r="N48" i="23"/>
  <c r="M49" i="23"/>
  <c r="N49" i="23" s="1"/>
  <c r="M40" i="21"/>
  <c r="N39" i="21"/>
  <c r="M39" i="52" l="1"/>
  <c r="N38" i="52"/>
  <c r="N39" i="50"/>
  <c r="M40" i="50"/>
  <c r="N41" i="31"/>
  <c r="M42" i="31"/>
  <c r="M39" i="39"/>
  <c r="N38" i="39"/>
  <c r="M41" i="21"/>
  <c r="N40" i="21"/>
  <c r="N40" i="50" l="1"/>
  <c r="M41" i="50"/>
  <c r="M40" i="52"/>
  <c r="N39" i="52"/>
  <c r="M43" i="31"/>
  <c r="N43" i="31"/>
  <c r="N42" i="31"/>
  <c r="M40" i="39"/>
  <c r="N39" i="39"/>
  <c r="M42" i="21"/>
  <c r="N41" i="21"/>
  <c r="N40" i="52" l="1"/>
  <c r="M41" i="52"/>
  <c r="M42" i="50"/>
  <c r="N41" i="50"/>
  <c r="M41" i="39"/>
  <c r="N40" i="39"/>
  <c r="M43" i="21"/>
  <c r="N42" i="21"/>
  <c r="M42" i="52" l="1"/>
  <c r="N41" i="52"/>
  <c r="M43" i="50"/>
  <c r="N42" i="50"/>
  <c r="N41" i="39"/>
  <c r="M42" i="39"/>
  <c r="M44" i="21"/>
  <c r="N43" i="21"/>
  <c r="M43" i="52" l="1"/>
  <c r="N42" i="52"/>
  <c r="M44" i="50"/>
  <c r="M45" i="50" s="1"/>
  <c r="M46" i="50" s="1"/>
  <c r="M47" i="50" s="1"/>
  <c r="M48" i="50" s="1"/>
  <c r="M49" i="50" s="1"/>
  <c r="M50" i="50" s="1"/>
  <c r="M51" i="50" s="1"/>
  <c r="M52" i="50" s="1"/>
  <c r="M53" i="50" s="1"/>
  <c r="N43" i="50"/>
  <c r="M43" i="39"/>
  <c r="N43" i="39"/>
  <c r="N42" i="39"/>
  <c r="N44" i="21"/>
  <c r="M45" i="21"/>
  <c r="M44" i="52" l="1"/>
  <c r="M45" i="52" s="1"/>
  <c r="M46" i="52" s="1"/>
  <c r="M47" i="52" s="1"/>
  <c r="M48" i="52" s="1"/>
  <c r="M49" i="52" s="1"/>
  <c r="M50" i="52" s="1"/>
  <c r="M51" i="52" s="1"/>
  <c r="M52" i="52" s="1"/>
  <c r="M53" i="52" s="1"/>
  <c r="N43" i="52"/>
  <c r="N45" i="21"/>
  <c r="M46" i="21"/>
  <c r="N46" i="21" l="1"/>
  <c r="M47" i="21"/>
  <c r="N47" i="21" l="1"/>
  <c r="M48" i="21"/>
  <c r="N48" i="21" l="1"/>
  <c r="M49" i="21"/>
  <c r="N49" i="21" l="1"/>
  <c r="M50" i="21"/>
  <c r="N50" i="21" l="1"/>
  <c r="M51" i="21"/>
  <c r="N51" i="21" l="1"/>
  <c r="M52" i="21"/>
  <c r="N52" i="21" l="1"/>
  <c r="M53" i="21"/>
  <c r="N53" i="21" l="1"/>
  <c r="M54" i="21"/>
  <c r="N54" i="21" l="1"/>
  <c r="M55" i="21"/>
  <c r="N55" i="21" l="1"/>
  <c r="M56" i="21"/>
  <c r="N56" i="21" l="1"/>
  <c r="M57" i="21"/>
  <c r="N57" i="21" l="1"/>
  <c r="M58" i="21"/>
  <c r="N58" i="21" l="1"/>
  <c r="M59" i="21"/>
  <c r="N59" i="21" l="1"/>
  <c r="M60" i="21"/>
  <c r="N60" i="21" l="1"/>
  <c r="M61" i="21"/>
  <c r="N61" i="21" l="1"/>
  <c r="M62" i="21"/>
  <c r="N62" i="21" l="1"/>
  <c r="M63" i="21"/>
  <c r="N63" i="21" l="1"/>
  <c r="M64" i="21"/>
  <c r="N64" i="21" l="1"/>
  <c r="M65" i="21"/>
  <c r="N65" i="21" l="1"/>
  <c r="M66" i="21"/>
  <c r="M67" i="21" l="1"/>
  <c r="N66" i="21"/>
  <c r="M68" i="21" l="1"/>
  <c r="N67" i="21"/>
  <c r="M69" i="21" l="1"/>
  <c r="N68" i="21"/>
  <c r="M70" i="21" l="1"/>
  <c r="N69" i="21"/>
  <c r="M71" i="21" l="1"/>
  <c r="N70" i="21"/>
  <c r="M72" i="21" l="1"/>
  <c r="N71" i="21"/>
  <c r="M73" i="21" l="1"/>
  <c r="N72" i="21"/>
  <c r="M74" i="21" l="1"/>
  <c r="N74" i="21" s="1"/>
  <c r="N73" i="21"/>
</calcChain>
</file>

<file path=xl/sharedStrings.xml><?xml version="1.0" encoding="utf-8"?>
<sst xmlns="http://schemas.openxmlformats.org/spreadsheetml/2006/main" count="6076" uniqueCount="271">
  <si>
    <t>Centre Index 2081-07-1</t>
  </si>
  <si>
    <t>Centre Index 2081-08-1</t>
  </si>
  <si>
    <t>Centre Index 2081-09-1</t>
  </si>
  <si>
    <t>Centre Name Kachorwa</t>
  </si>
  <si>
    <t>Centre Code Kac A01</t>
  </si>
  <si>
    <t>Morning</t>
  </si>
  <si>
    <t>Total</t>
  </si>
  <si>
    <t>Fat</t>
  </si>
  <si>
    <t>Snf</t>
  </si>
  <si>
    <t>Amount</t>
  </si>
  <si>
    <t>Evening</t>
  </si>
  <si>
    <t>Centre Name Baswariya</t>
  </si>
  <si>
    <t>Centre Code BasA02</t>
  </si>
  <si>
    <t>Centre Name Teta</t>
  </si>
  <si>
    <t>Centre Code Tet A03</t>
  </si>
  <si>
    <t>Centre Name Bhagwanpur</t>
  </si>
  <si>
    <t>Centre Code Bha A04</t>
  </si>
  <si>
    <t>Customer Index</t>
  </si>
  <si>
    <t>Customer Code</t>
  </si>
  <si>
    <t>Customer Nane</t>
  </si>
  <si>
    <t>Mobile No</t>
  </si>
  <si>
    <t>Total Purchase</t>
  </si>
  <si>
    <t>Status</t>
  </si>
  <si>
    <t>Bas01</t>
  </si>
  <si>
    <t>Shankar Yadav</t>
  </si>
  <si>
    <t>Active</t>
  </si>
  <si>
    <t>Bas02</t>
  </si>
  <si>
    <t>Niranjan Yadav</t>
  </si>
  <si>
    <t>Bas03</t>
  </si>
  <si>
    <t>Mukesh Sahani</t>
  </si>
  <si>
    <t>Bas04</t>
  </si>
  <si>
    <t>Jitendra Yadav</t>
  </si>
  <si>
    <t>Inactive</t>
  </si>
  <si>
    <t>Bas05</t>
  </si>
  <si>
    <t>Muna Yadav</t>
  </si>
  <si>
    <t>Bas06</t>
  </si>
  <si>
    <t>Pramod Yadav</t>
  </si>
  <si>
    <t>Bas07</t>
  </si>
  <si>
    <t>Gaurishankar Yadav</t>
  </si>
  <si>
    <t>Bas08</t>
  </si>
  <si>
    <t>Ramji Sah(Bhuta)</t>
  </si>
  <si>
    <t>Bas09</t>
  </si>
  <si>
    <t>Ramcharan Yadav</t>
  </si>
  <si>
    <t>Bas10</t>
  </si>
  <si>
    <t>Naresh Yadav</t>
  </si>
  <si>
    <t>Bas11</t>
  </si>
  <si>
    <t>Shivshankar Sahani</t>
  </si>
  <si>
    <t>Bas12</t>
  </si>
  <si>
    <t>Rambilash Sah</t>
  </si>
  <si>
    <t>Bas13</t>
  </si>
  <si>
    <t>Dipendra Yadav</t>
  </si>
  <si>
    <t>Bas14</t>
  </si>
  <si>
    <t>Mukti Yadav</t>
  </si>
  <si>
    <t>Bas15</t>
  </si>
  <si>
    <t>Binod Yadav</t>
  </si>
  <si>
    <t>Bas16</t>
  </si>
  <si>
    <t>Laxman Mukhiya</t>
  </si>
  <si>
    <t>Bas17</t>
  </si>
  <si>
    <t>Mahanand Prasad Yadav</t>
  </si>
  <si>
    <t>Bas18</t>
  </si>
  <si>
    <t>Badari Sah</t>
  </si>
  <si>
    <t>Bas19</t>
  </si>
  <si>
    <t>Sharmanand Thakur</t>
  </si>
  <si>
    <t>Bas20</t>
  </si>
  <si>
    <t>Shukhari Yadav</t>
  </si>
  <si>
    <t>Bas21</t>
  </si>
  <si>
    <t>Jaynarayan Yadav</t>
  </si>
  <si>
    <t>Bas22</t>
  </si>
  <si>
    <t>Panilal Yadav</t>
  </si>
  <si>
    <t>Bas23</t>
  </si>
  <si>
    <t>lorik Yadav</t>
  </si>
  <si>
    <t>Bas24</t>
  </si>
  <si>
    <t>Mahindra Chaurasiya</t>
  </si>
  <si>
    <t>Bas25</t>
  </si>
  <si>
    <t>Rajkapoor Sah</t>
  </si>
  <si>
    <t>Bas26</t>
  </si>
  <si>
    <t>Ramvishwash Sah</t>
  </si>
  <si>
    <t>Bas27</t>
  </si>
  <si>
    <t>Kisori Chaourasiya</t>
  </si>
  <si>
    <t>Bas28</t>
  </si>
  <si>
    <t>Lakhindra Baitha</t>
  </si>
  <si>
    <t>Bas29</t>
  </si>
  <si>
    <t>Pratap Yadav</t>
  </si>
  <si>
    <t>Bas30</t>
  </si>
  <si>
    <t>Awadh Vihari</t>
  </si>
  <si>
    <t>Bas31</t>
  </si>
  <si>
    <t>Ram Deyal Yadav</t>
  </si>
  <si>
    <t>Bas32</t>
  </si>
  <si>
    <t xml:space="preserve">Bhorik Yadav </t>
  </si>
  <si>
    <t>Bas33</t>
  </si>
  <si>
    <t xml:space="preserve">Laxman Yadav </t>
  </si>
  <si>
    <t>Bas34</t>
  </si>
  <si>
    <t xml:space="preserve">Dipak Yadav </t>
  </si>
  <si>
    <t>Bas35</t>
  </si>
  <si>
    <t>Jangli Shah Kanu</t>
  </si>
  <si>
    <t>Bas36</t>
  </si>
  <si>
    <t>Ganesh Shah</t>
  </si>
  <si>
    <t>Bas37</t>
  </si>
  <si>
    <t>Bas38</t>
  </si>
  <si>
    <t>Bas39</t>
  </si>
  <si>
    <t>Bas40</t>
  </si>
  <si>
    <t>Bas41</t>
  </si>
  <si>
    <t>Bas42</t>
  </si>
  <si>
    <t>MWG Pvt Ltd</t>
  </si>
  <si>
    <t>Ledger Book</t>
  </si>
  <si>
    <t>Name Shankar Yadav</t>
  </si>
  <si>
    <t xml:space="preserve">Mob </t>
  </si>
  <si>
    <t>XXXXXXX</t>
  </si>
  <si>
    <t>Address Baswariya 08, Simraungadh, Bara</t>
  </si>
  <si>
    <t>Date</t>
  </si>
  <si>
    <t>Litre</t>
  </si>
  <si>
    <t>Per Litre</t>
  </si>
  <si>
    <t>Shift</t>
  </si>
  <si>
    <t>Particular</t>
  </si>
  <si>
    <t>Dr Balance</t>
  </si>
  <si>
    <t>Cr Balance</t>
  </si>
  <si>
    <t>Balance</t>
  </si>
  <si>
    <t>Dr/Cr Balance</t>
  </si>
  <si>
    <t>Remarks</t>
  </si>
  <si>
    <t>2081-Kar-15</t>
  </si>
  <si>
    <t>M</t>
  </si>
  <si>
    <t>2081-Kar-16</t>
  </si>
  <si>
    <t>2081-Kar-17</t>
  </si>
  <si>
    <t>2081-Kar-18</t>
  </si>
  <si>
    <t>2081-Kar-19</t>
  </si>
  <si>
    <t>2081-Kar-20</t>
  </si>
  <si>
    <t>2081-Kar-21</t>
  </si>
  <si>
    <t>Absent</t>
  </si>
  <si>
    <t>2081-Kar-22</t>
  </si>
  <si>
    <t>2081-Kar-23</t>
  </si>
  <si>
    <t>2081-Kar-24</t>
  </si>
  <si>
    <t>2081-Kar-25</t>
  </si>
  <si>
    <t>2081-Kar-26</t>
  </si>
  <si>
    <t>2081-Kar-27</t>
  </si>
  <si>
    <t>2081-Kar-28</t>
  </si>
  <si>
    <t>2081-Kar-29</t>
  </si>
  <si>
    <t>2081-Kar-30</t>
  </si>
  <si>
    <t>Paid In Full</t>
  </si>
  <si>
    <t>2081-Man-01</t>
  </si>
  <si>
    <t>2081-Man-02</t>
  </si>
  <si>
    <t>2081-Man-03</t>
  </si>
  <si>
    <t>2081-Man-04</t>
  </si>
  <si>
    <t>2081-Man-05</t>
  </si>
  <si>
    <t>2081-Man-06</t>
  </si>
  <si>
    <t>2081-Man-07</t>
  </si>
  <si>
    <t>2081-Man-08</t>
  </si>
  <si>
    <t>2081-Man-09</t>
  </si>
  <si>
    <t>2081-Man-10</t>
  </si>
  <si>
    <t>2081-Man-11</t>
  </si>
  <si>
    <t>2081-Man-12</t>
  </si>
  <si>
    <t>2081-Man-13</t>
  </si>
  <si>
    <t>2081-Man-14</t>
  </si>
  <si>
    <t>2081-Man-15</t>
  </si>
  <si>
    <t>2081-Man-16</t>
  </si>
  <si>
    <t>2081-Man-17</t>
  </si>
  <si>
    <t>A</t>
  </si>
  <si>
    <t>2081-Man-18</t>
  </si>
  <si>
    <t>2081-Man-19</t>
  </si>
  <si>
    <t>2081-Man-20</t>
  </si>
  <si>
    <t>2081-Man-21</t>
  </si>
  <si>
    <t>2081-Man-22</t>
  </si>
  <si>
    <t>2081-Man-23</t>
  </si>
  <si>
    <t>2081-Man-24</t>
  </si>
  <si>
    <t>2081-Man-25</t>
  </si>
  <si>
    <t>2081-Man-26</t>
  </si>
  <si>
    <t>2081-Man-27</t>
  </si>
  <si>
    <t>2081-Man-28</t>
  </si>
  <si>
    <t>2081-Man-29</t>
  </si>
  <si>
    <t>2081-Man-30</t>
  </si>
  <si>
    <t>2081-Pus-1</t>
  </si>
  <si>
    <t>2081-Pus-2</t>
  </si>
  <si>
    <t>2081-Pus-3</t>
  </si>
  <si>
    <t>2081-Pus-4</t>
  </si>
  <si>
    <t>2081-Pus-5</t>
  </si>
  <si>
    <t>2081-Pus-6</t>
  </si>
  <si>
    <t>2081-Pus-7</t>
  </si>
  <si>
    <t>2081-Pus-8</t>
  </si>
  <si>
    <t>2081-Pus-9</t>
  </si>
  <si>
    <t>2081-Pus-10</t>
  </si>
  <si>
    <t>2081-Pus-11</t>
  </si>
  <si>
    <t>2081-Pus-12</t>
  </si>
  <si>
    <t>2081-Pus-13</t>
  </si>
  <si>
    <t>2081-Pus-14</t>
  </si>
  <si>
    <t>2081-Pus-15</t>
  </si>
  <si>
    <t>2081-Pus-16</t>
  </si>
  <si>
    <t>2081-Pus-17</t>
  </si>
  <si>
    <t>2081-Pus-18</t>
  </si>
  <si>
    <t>2081-Pus-19</t>
  </si>
  <si>
    <t>2081-Pus-20</t>
  </si>
  <si>
    <t>2081-Pus-21</t>
  </si>
  <si>
    <t>2081-Pus-22</t>
  </si>
  <si>
    <t>2081-Pus-23</t>
  </si>
  <si>
    <t>2081-Pus-24</t>
  </si>
  <si>
    <t>2081-Pus-25</t>
  </si>
  <si>
    <t>2081-Pus-26</t>
  </si>
  <si>
    <t>2081-Pus-27</t>
  </si>
  <si>
    <t>2081-Pus-28</t>
  </si>
  <si>
    <t>2081-Pus-29</t>
  </si>
  <si>
    <t>Name Niranjan Yadav</t>
  </si>
  <si>
    <t>Address Baswariya 09, Simraungadh, Bara</t>
  </si>
  <si>
    <t>Name Mukesh Sahani</t>
  </si>
  <si>
    <t>Total Litre</t>
  </si>
  <si>
    <t>Total Payment</t>
  </si>
  <si>
    <t>Net Payment</t>
  </si>
  <si>
    <t>Name Jitendra Yadav</t>
  </si>
  <si>
    <t>2081-Kar-1</t>
  </si>
  <si>
    <t>Name Muna Yadav</t>
  </si>
  <si>
    <t>E</t>
  </si>
  <si>
    <t>Name Pramod Yadav</t>
  </si>
  <si>
    <t>Name Gaurishankar Yadav</t>
  </si>
  <si>
    <t>Name Ramji Sah(Bhuta)</t>
  </si>
  <si>
    <t>Name Ramcharan Yadav</t>
  </si>
  <si>
    <t>2081-Man-31</t>
  </si>
  <si>
    <t>2081-Man-32</t>
  </si>
  <si>
    <t>2081-Man-33</t>
  </si>
  <si>
    <t>2081-Man-34</t>
  </si>
  <si>
    <t>2081-Man-35</t>
  </si>
  <si>
    <t>2081-Man-36</t>
  </si>
  <si>
    <t>2081-Man-37</t>
  </si>
  <si>
    <t>2081-Man-38</t>
  </si>
  <si>
    <t>2081-Man-39</t>
  </si>
  <si>
    <t>2081-Man-40</t>
  </si>
  <si>
    <t>2081-Man-41</t>
  </si>
  <si>
    <t>2081-Man-42</t>
  </si>
  <si>
    <t>2081-Man-43</t>
  </si>
  <si>
    <t>2081-Man-44</t>
  </si>
  <si>
    <t>2081-Man-45</t>
  </si>
  <si>
    <t>Name Naresh Yadav</t>
  </si>
  <si>
    <t>9xxxxxxxxxx</t>
  </si>
  <si>
    <t>Name Shivshankar Sahani</t>
  </si>
  <si>
    <t>Name Rambilash Sah</t>
  </si>
  <si>
    <t>Name Dipendra Yadav</t>
  </si>
  <si>
    <t>Name Mukti Yadav</t>
  </si>
  <si>
    <t>Name Binod Yadav</t>
  </si>
  <si>
    <t>Name Laxman Mukhiya</t>
  </si>
  <si>
    <t>Name Mahanand Prasad Yadav</t>
  </si>
  <si>
    <t>Name Badari Sah</t>
  </si>
  <si>
    <t>Name Sharmanand Thakur</t>
  </si>
  <si>
    <t>Name Shukhari Yadav</t>
  </si>
  <si>
    <t>Name Jaynarayan Yadav</t>
  </si>
  <si>
    <t>Name Panilal Yadav</t>
  </si>
  <si>
    <t>Name lorik Yadav</t>
  </si>
  <si>
    <t>Name Mahindra Chaurasiya</t>
  </si>
  <si>
    <t>Name Rajkapoor Sah</t>
  </si>
  <si>
    <t>Name Ramvishwash Sah</t>
  </si>
  <si>
    <t>Name Kisori Chaourasiya</t>
  </si>
  <si>
    <t>Name Lakhindra Baitha</t>
  </si>
  <si>
    <t>Name Pratap Yadav</t>
  </si>
  <si>
    <t>Name Awadh Vihari</t>
  </si>
  <si>
    <t>Name Ram Deyal Yadav</t>
  </si>
  <si>
    <t xml:space="preserve">Name Bhorik Yadav </t>
  </si>
  <si>
    <t>xxx</t>
  </si>
  <si>
    <t xml:space="preserve">Name Laxman Yadav </t>
  </si>
  <si>
    <t xml:space="preserve">Name Dipak Yadav </t>
  </si>
  <si>
    <t>Name jangli Shah Kanu</t>
  </si>
  <si>
    <t>Name Ganesh Shah</t>
  </si>
  <si>
    <t>2081-Pos-01</t>
  </si>
  <si>
    <t>2081-Pos-02</t>
  </si>
  <si>
    <t>2081-Pos-03</t>
  </si>
  <si>
    <t>2081-Pos-04</t>
  </si>
  <si>
    <t>2081-Pos-05</t>
  </si>
  <si>
    <t>2081-Pos-06</t>
  </si>
  <si>
    <t>2081-Pos-07</t>
  </si>
  <si>
    <t>2081-Pos-08</t>
  </si>
  <si>
    <t>2081-Pos-09</t>
  </si>
  <si>
    <t>2081-Pos-10</t>
  </si>
  <si>
    <t>2081-Pos-11</t>
  </si>
  <si>
    <t>2081-Pos-12</t>
  </si>
  <si>
    <t>2081-Pos-13</t>
  </si>
  <si>
    <t>2081-Pos-14</t>
  </si>
  <si>
    <t>2081-Pos-15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</si>
</sst>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[$-10461]yyyy\-mm\-dd;@"/>
  </numFmts>
  <fonts count="19">
    <font>
      <sz val="11"/>
      <color theme="1"/>
      <name val="Calibri"/>
      <family val="2"/>
      <scheme val="minor"/>
    </font>
    <font>
      <sz val="20"/>
      <color theme="1"/>
      <name val="Calibri"/>
      <scheme val="minor"/>
    </font>
    <font>
      <b/>
      <sz val="28"/>
      <color theme="1"/>
      <name val="Calibri"/>
      <scheme val="minor"/>
    </font>
    <font>
      <sz val="11"/>
      <color rgb="FF000000"/>
      <name val="Calibri"/>
      <scheme val="minor"/>
    </font>
    <font>
      <b/>
      <sz val="20"/>
      <color theme="1"/>
      <name val="Calibri"/>
      <scheme val="minor"/>
    </font>
    <font>
      <b/>
      <sz val="16"/>
      <color theme="1"/>
      <name val="Calibri"/>
      <scheme val="minor"/>
    </font>
    <font>
      <b/>
      <sz val="24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rgb="FF00B050"/>
      <name val="Calibri"/>
      <scheme val="minor"/>
    </font>
    <font>
      <b/>
      <sz val="11"/>
      <color rgb="FFFF0000"/>
      <name val="Calibri"/>
      <scheme val="minor"/>
    </font>
    <font>
      <u/>
      <sz val="11"/>
      <color rgb="FFFF0000"/>
      <name val="Calibri"/>
      <scheme val="minor"/>
    </font>
    <font>
      <sz val="11"/>
      <color rgb="FFFF0000"/>
      <name val="Calibri"/>
      <scheme val="minor"/>
    </font>
    <font>
      <b/>
      <sz val="22"/>
      <color theme="1"/>
      <name val="Calibri"/>
      <scheme val="minor"/>
    </font>
    <font>
      <b/>
      <sz val="14"/>
      <color rgb="FF002060"/>
      <name val="Calibri"/>
      <scheme val="minor"/>
    </font>
    <font>
      <sz val="11"/>
      <name val="Calibri"/>
      <scheme val="minor"/>
    </font>
    <font>
      <b/>
      <sz val="12"/>
      <color theme="1"/>
      <name val="Calibri"/>
      <scheme val="minor"/>
    </font>
    <font>
      <sz val="11"/>
      <color rgb="FFE36C09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B050"/>
        <bgColor auto="1"/>
      </patternFill>
    </fill>
    <fill>
      <patternFill patternType="solid">
        <fgColor rgb="FFE5B9B7"/>
        <bgColor auto="1"/>
      </patternFill>
    </fill>
    <fill>
      <patternFill patternType="solid">
        <fgColor rgb="FFB8CCE4"/>
        <bgColor auto="1"/>
      </patternFill>
    </fill>
    <fill>
      <patternFill patternType="solid">
        <fgColor rgb="FFDDD9C3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AC08F"/>
      </patternFill>
    </fill>
    <fill>
      <patternFill patternType="solid">
        <fgColor rgb="FFB8CCE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BBB59"/>
      </patternFill>
    </fill>
    <fill>
      <patternFill patternType="solid">
        <fgColor rgb="FFE36C09"/>
      </patternFill>
    </fill>
    <fill>
      <patternFill patternType="solid">
        <fgColor rgb="FFB2A2C7"/>
      </patternFill>
    </fill>
    <fill>
      <patternFill patternType="solid">
        <fgColor rgb="FFD99694"/>
      </patternFill>
    </fill>
    <fill>
      <patternFill patternType="solid">
        <fgColor rgb="FFF2AF1E"/>
      </patternFill>
    </fill>
    <fill>
      <patternFill patternType="solid">
        <fgColor rgb="FFF79646"/>
      </patternFill>
    </fill>
    <fill>
      <patternFill patternType="solid">
        <fgColor rgb="FFD7E3BC"/>
      </patternFill>
    </fill>
    <fill>
      <patternFill patternType="solid">
        <fgColor rgb="FFFF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1" applyFont="1" applyAlignment="1">
      <alignment wrapText="1"/>
    </xf>
    <xf numFmtId="0" fontId="1" fillId="0" borderId="0" xfId="1" applyFont="1" applyBorder="1"/>
    <xf numFmtId="0" fontId="3" fillId="0" borderId="0" xfId="1"/>
    <xf numFmtId="0" fontId="1" fillId="0" borderId="0" xfId="1" applyFont="1"/>
    <xf numFmtId="14" fontId="1" fillId="0" borderId="0" xfId="1" applyNumberFormat="1" applyFont="1"/>
    <xf numFmtId="0" fontId="4" fillId="3" borderId="2" xfId="1" applyFont="1" applyFill="1" applyBorder="1"/>
    <xf numFmtId="0" fontId="1" fillId="4" borderId="2" xfId="1" applyFont="1" applyFill="1" applyBorder="1"/>
    <xf numFmtId="0" fontId="4" fillId="5" borderId="2" xfId="1" applyFont="1" applyFill="1" applyBorder="1"/>
    <xf numFmtId="0" fontId="4" fillId="0" borderId="2" xfId="1" applyFont="1" applyBorder="1"/>
    <xf numFmtId="0" fontId="1" fillId="0" borderId="2" xfId="1" applyFont="1" applyBorder="1"/>
    <xf numFmtId="0" fontId="1" fillId="5" borderId="2" xfId="1" applyFont="1" applyFill="1" applyBorder="1"/>
    <xf numFmtId="0" fontId="4" fillId="6" borderId="2" xfId="1" applyFont="1" applyFill="1" applyBorder="1"/>
    <xf numFmtId="0" fontId="1" fillId="7" borderId="2" xfId="1" applyFont="1" applyFill="1" applyBorder="1"/>
    <xf numFmtId="0" fontId="6" fillId="8" borderId="0" xfId="0" applyFont="1" applyFill="1"/>
    <xf numFmtId="0" fontId="8" fillId="9" borderId="2" xfId="0" applyFont="1" applyFill="1" applyBorder="1"/>
    <xf numFmtId="0" fontId="8" fillId="9" borderId="3" xfId="0" applyFont="1" applyFill="1" applyBorder="1"/>
    <xf numFmtId="0" fontId="8" fillId="9" borderId="4" xfId="0" applyFont="1" applyFill="1" applyBorder="1"/>
    <xf numFmtId="0" fontId="0" fillId="9" borderId="4" xfId="0" applyFill="1" applyBorder="1"/>
    <xf numFmtId="0" fontId="0" fillId="9" borderId="5" xfId="0" applyFill="1" applyBorder="1"/>
    <xf numFmtId="0" fontId="0" fillId="0" borderId="0" xfId="0" applyBorder="1"/>
    <xf numFmtId="0" fontId="9" fillId="0" borderId="0" xfId="2"/>
    <xf numFmtId="0" fontId="8" fillId="0" borderId="3" xfId="0" applyFont="1" applyBorder="1"/>
    <xf numFmtId="0" fontId="8" fillId="0" borderId="4" xfId="0" applyFont="1" applyBorder="1"/>
    <xf numFmtId="0" fontId="0" fillId="0" borderId="4" xfId="0" applyBorder="1"/>
    <xf numFmtId="0" fontId="0" fillId="0" borderId="5" xfId="0" applyBorder="1"/>
    <xf numFmtId="0" fontId="10" fillId="0" borderId="2" xfId="0" applyFont="1" applyBorder="1"/>
    <xf numFmtId="0" fontId="9" fillId="0" borderId="2" xfId="2" applyBorder="1"/>
    <xf numFmtId="0" fontId="8" fillId="10" borderId="0" xfId="0" applyFont="1" applyFill="1"/>
    <xf numFmtId="0" fontId="11" fillId="10" borderId="0" xfId="0" applyFont="1" applyFill="1"/>
    <xf numFmtId="0" fontId="11" fillId="11" borderId="2" xfId="0" applyFont="1" applyFill="1" applyBorder="1"/>
    <xf numFmtId="0" fontId="8" fillId="0" borderId="6" xfId="0" applyFont="1" applyBorder="1"/>
    <xf numFmtId="0" fontId="9" fillId="0" borderId="7" xfId="2" applyBorder="1"/>
    <xf numFmtId="0" fontId="8" fillId="12" borderId="2" xfId="0" applyFont="1" applyFill="1" applyBorder="1"/>
    <xf numFmtId="0" fontId="0" fillId="0" borderId="3" xfId="0" applyBorder="1"/>
    <xf numFmtId="0" fontId="8" fillId="10" borderId="2" xfId="0" applyFont="1" applyFill="1" applyBorder="1"/>
    <xf numFmtId="0" fontId="12" fillId="11" borderId="7" xfId="2" applyFont="1" applyFill="1" applyBorder="1"/>
    <xf numFmtId="0" fontId="11" fillId="10" borderId="2" xfId="0" applyFont="1" applyFill="1" applyBorder="1"/>
    <xf numFmtId="0" fontId="13" fillId="11" borderId="3" xfId="0" applyFont="1" applyFill="1" applyBorder="1"/>
    <xf numFmtId="0" fontId="13" fillId="11" borderId="4" xfId="0" applyFont="1" applyFill="1" applyBorder="1"/>
    <xf numFmtId="0" fontId="13" fillId="11" borderId="5" xfId="0" applyFont="1" applyFill="1" applyBorder="1"/>
    <xf numFmtId="0" fontId="8" fillId="0" borderId="8" xfId="0" applyFont="1" applyBorder="1"/>
    <xf numFmtId="0" fontId="0" fillId="11" borderId="3" xfId="0" applyFill="1" applyBorder="1"/>
    <xf numFmtId="0" fontId="8" fillId="0" borderId="9" xfId="0" applyFont="1" applyBorder="1"/>
    <xf numFmtId="0" fontId="0" fillId="0" borderId="2" xfId="0" applyBorder="1"/>
    <xf numFmtId="0" fontId="9" fillId="0" borderId="7" xfId="2" applyBorder="1"/>
    <xf numFmtId="0" fontId="8" fillId="10" borderId="10" xfId="0" applyFont="1" applyFill="1" applyBorder="1"/>
    <xf numFmtId="0" fontId="11" fillId="10" borderId="10" xfId="0" applyFont="1" applyFill="1" applyBorder="1"/>
    <xf numFmtId="0" fontId="9" fillId="0" borderId="2" xfId="2" applyBorder="1"/>
    <xf numFmtId="0" fontId="4" fillId="0" borderId="0" xfId="0" applyFont="1"/>
    <xf numFmtId="0" fontId="8" fillId="14" borderId="0" xfId="0" applyFont="1" applyFill="1"/>
    <xf numFmtId="0" fontId="0" fillId="14" borderId="0" xfId="0" applyFill="1"/>
    <xf numFmtId="0" fontId="8" fillId="15" borderId="0" xfId="0" applyFont="1" applyFill="1" applyAlignment="1">
      <alignment wrapText="1"/>
    </xf>
    <xf numFmtId="0" fontId="8" fillId="15" borderId="0" xfId="0" applyFont="1" applyFill="1"/>
    <xf numFmtId="0" fontId="8" fillId="0" borderId="0" xfId="0" applyFont="1" applyAlignment="1">
      <alignment wrapText="1"/>
    </xf>
    <xf numFmtId="0" fontId="9" fillId="0" borderId="0" xfId="2" applyBorder="1"/>
    <xf numFmtId="164" fontId="0" fillId="0" borderId="0" xfId="0" applyNumberFormat="1"/>
    <xf numFmtId="0" fontId="7" fillId="16" borderId="4" xfId="0" applyFont="1" applyFill="1" applyBorder="1"/>
    <xf numFmtId="0" fontId="8" fillId="0" borderId="0" xfId="0" applyFont="1" applyBorder="1"/>
    <xf numFmtId="0" fontId="7" fillId="16" borderId="5" xfId="0" applyFont="1" applyFill="1" applyBorder="1"/>
    <xf numFmtId="0" fontId="7" fillId="16" borderId="2" xfId="0" applyFont="1" applyFill="1" applyBorder="1"/>
    <xf numFmtId="0" fontId="7" fillId="16" borderId="11" xfId="0" applyFont="1" applyFill="1" applyBorder="1"/>
    <xf numFmtId="165" fontId="0" fillId="0" borderId="4" xfId="0" applyNumberFormat="1" applyBorder="1"/>
    <xf numFmtId="165" fontId="0" fillId="0" borderId="2" xfId="0" applyNumberFormat="1" applyBorder="1"/>
    <xf numFmtId="0" fontId="0" fillId="0" borderId="11" xfId="0" applyBorder="1"/>
    <xf numFmtId="0" fontId="15" fillId="11" borderId="2" xfId="0" applyFont="1" applyFill="1" applyBorder="1"/>
    <xf numFmtId="165" fontId="0" fillId="17" borderId="4" xfId="0" applyNumberFormat="1" applyFill="1" applyBorder="1"/>
    <xf numFmtId="0" fontId="16" fillId="17" borderId="4" xfId="0" applyFont="1" applyFill="1" applyBorder="1"/>
    <xf numFmtId="0" fontId="0" fillId="17" borderId="4" xfId="0" applyFill="1" applyBorder="1"/>
    <xf numFmtId="165" fontId="8" fillId="11" borderId="2" xfId="0" applyNumberFormat="1" applyFont="1" applyFill="1" applyBorder="1"/>
    <xf numFmtId="0" fontId="8" fillId="11" borderId="11" xfId="0" applyFont="1" applyFill="1" applyBorder="1"/>
    <xf numFmtId="0" fontId="0" fillId="11" borderId="2" xfId="0" applyFill="1" applyBorder="1"/>
    <xf numFmtId="0" fontId="8" fillId="11" borderId="2" xfId="0" applyFont="1" applyFill="1" applyBorder="1"/>
    <xf numFmtId="165" fontId="8" fillId="18" borderId="4" xfId="0" applyNumberFormat="1" applyFont="1" applyFill="1" applyBorder="1"/>
    <xf numFmtId="0" fontId="8" fillId="18" borderId="4" xfId="0" applyFont="1" applyFill="1" applyBorder="1"/>
    <xf numFmtId="0" fontId="0" fillId="18" borderId="4" xfId="0" applyFill="1" applyBorder="1"/>
    <xf numFmtId="165" fontId="0" fillId="18" borderId="2" xfId="0" applyNumberFormat="1" applyFill="1" applyBorder="1"/>
    <xf numFmtId="0" fontId="0" fillId="18" borderId="11" xfId="0" applyFill="1" applyBorder="1"/>
    <xf numFmtId="0" fontId="0" fillId="18" borderId="2" xfId="0" applyFill="1" applyBorder="1"/>
    <xf numFmtId="165" fontId="0" fillId="0" borderId="12" xfId="0" applyNumberFormat="1" applyBorder="1"/>
    <xf numFmtId="0" fontId="0" fillId="0" borderId="12" xfId="0" applyBorder="1"/>
    <xf numFmtId="0" fontId="8" fillId="0" borderId="2" xfId="0" applyFont="1" applyBorder="1"/>
    <xf numFmtId="0" fontId="8" fillId="16" borderId="4" xfId="0" applyFont="1" applyFill="1" applyBorder="1"/>
    <xf numFmtId="165" fontId="0" fillId="0" borderId="0" xfId="0" applyNumberFormat="1" applyBorder="1"/>
    <xf numFmtId="0" fontId="8" fillId="19" borderId="2" xfId="0" applyFont="1" applyFill="1" applyBorder="1"/>
    <xf numFmtId="0" fontId="0" fillId="19" borderId="2" xfId="0" applyFill="1" applyBorder="1"/>
    <xf numFmtId="0" fontId="0" fillId="0" borderId="13" xfId="0" applyBorder="1"/>
    <xf numFmtId="0" fontId="0" fillId="0" borderId="10" xfId="0" applyBorder="1"/>
    <xf numFmtId="165" fontId="0" fillId="0" borderId="10" xfId="0" applyNumberFormat="1" applyBorder="1"/>
    <xf numFmtId="0" fontId="9" fillId="20" borderId="2" xfId="2" applyFill="1" applyBorder="1"/>
    <xf numFmtId="0" fontId="9" fillId="8" borderId="0" xfId="2" applyFill="1"/>
    <xf numFmtId="0" fontId="17" fillId="16" borderId="2" xfId="0" applyFont="1" applyFill="1" applyBorder="1"/>
    <xf numFmtId="0" fontId="8" fillId="16" borderId="2" xfId="0" applyFont="1" applyFill="1" applyBorder="1"/>
    <xf numFmtId="0" fontId="0" fillId="11" borderId="4" xfId="0" applyFill="1" applyBorder="1"/>
    <xf numFmtId="0" fontId="0" fillId="0" borderId="14" xfId="0" applyBorder="1"/>
    <xf numFmtId="0" fontId="9" fillId="8" borderId="2" xfId="2" applyFill="1" applyBorder="1"/>
    <xf numFmtId="165" fontId="0" fillId="11" borderId="4" xfId="0" applyNumberFormat="1" applyFill="1" applyBorder="1"/>
    <xf numFmtId="165" fontId="0" fillId="18" borderId="4" xfId="0" applyNumberFormat="1" applyFill="1" applyBorder="1"/>
    <xf numFmtId="165" fontId="0" fillId="11" borderId="12" xfId="0" applyNumberFormat="1" applyFill="1" applyBorder="1"/>
    <xf numFmtId="0" fontId="0" fillId="11" borderId="12" xfId="0" applyFill="1" applyBorder="1"/>
    <xf numFmtId="165" fontId="0" fillId="11" borderId="2" xfId="0" applyNumberFormat="1" applyFill="1" applyBorder="1"/>
    <xf numFmtId="0" fontId="0" fillId="0" borderId="0" xfId="0" applyProtection="1">
      <protection locked="0"/>
    </xf>
    <xf numFmtId="0" fontId="4" fillId="0" borderId="0" xfId="0" applyFont="1" applyAlignment="1" applyProtection="1">
      <protection locked="0"/>
    </xf>
    <xf numFmtId="0" fontId="8" fillId="14" borderId="0" xfId="0" applyFont="1" applyFill="1" applyAlignment="1" applyProtection="1">
      <protection locked="0"/>
    </xf>
    <xf numFmtId="0" fontId="0" fillId="14" borderId="0" xfId="0" applyFont="1" applyFill="1" applyAlignment="1" applyProtection="1">
      <protection locked="0"/>
    </xf>
    <xf numFmtId="0" fontId="8" fillId="15" borderId="0" xfId="0" applyFont="1" applyFill="1" applyAlignment="1" applyProtection="1">
      <alignment wrapText="1"/>
      <protection locked="0"/>
    </xf>
    <xf numFmtId="0" fontId="8" fillId="15" borderId="0" xfId="0" applyFont="1" applyFill="1" applyAlignment="1" applyProtection="1">
      <protection locked="0"/>
    </xf>
    <xf numFmtId="0" fontId="8" fillId="0" borderId="0" xfId="0" applyFont="1" applyAlignment="1" applyProtection="1">
      <alignment wrapText="1"/>
      <protection locked="0"/>
    </xf>
    <xf numFmtId="0" fontId="9" fillId="20" borderId="2" xfId="2" applyFont="1" applyFill="1" applyBorder="1" applyAlignment="1" applyProtection="1">
      <protection locked="0"/>
    </xf>
    <xf numFmtId="0" fontId="9" fillId="8" borderId="0" xfId="2" applyFont="1" applyFill="1" applyAlignment="1" applyProtection="1">
      <protection locked="0"/>
    </xf>
    <xf numFmtId="164" fontId="0" fillId="0" borderId="0" xfId="0" applyNumberFormat="1" applyFont="1" applyAlignment="1" applyProtection="1">
      <protection locked="0"/>
    </xf>
    <xf numFmtId="0" fontId="8" fillId="16" borderId="4" xfId="0" applyFont="1" applyFill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0" fillId="0" borderId="0" xfId="0" applyFont="1" applyBorder="1" applyAlignment="1" applyProtection="1">
      <protection locked="0"/>
    </xf>
    <xf numFmtId="0" fontId="7" fillId="16" borderId="4" xfId="0" applyFont="1" applyFill="1" applyBorder="1" applyAlignment="1" applyProtection="1">
      <protection locked="0"/>
    </xf>
    <xf numFmtId="0" fontId="7" fillId="16" borderId="2" xfId="0" applyFont="1" applyFill="1" applyBorder="1" applyAlignment="1" applyProtection="1">
      <protection locked="0"/>
    </xf>
    <xf numFmtId="0" fontId="17" fillId="16" borderId="2" xfId="0" applyFont="1" applyFill="1" applyBorder="1" applyAlignment="1" applyProtection="1">
      <protection locked="0"/>
    </xf>
    <xf numFmtId="0" fontId="8" fillId="16" borderId="2" xfId="0" applyFont="1" applyFill="1" applyBorder="1" applyAlignment="1" applyProtection="1">
      <protection locked="0"/>
    </xf>
    <xf numFmtId="165" fontId="0" fillId="0" borderId="4" xfId="0" applyNumberFormat="1" applyFont="1" applyBorder="1" applyAlignment="1" applyProtection="1">
      <protection locked="0"/>
    </xf>
    <xf numFmtId="0" fontId="0" fillId="0" borderId="4" xfId="0" applyFont="1" applyBorder="1" applyAlignment="1" applyProtection="1">
      <protection locked="0"/>
    </xf>
    <xf numFmtId="0" fontId="0" fillId="0" borderId="4" xfId="0" applyNumberFormat="1" applyFont="1" applyBorder="1" applyAlignment="1" applyProtection="1"/>
    <xf numFmtId="0" fontId="0" fillId="0" borderId="2" xfId="0" applyFont="1" applyBorder="1" applyAlignment="1" applyProtection="1">
      <protection locked="0"/>
    </xf>
    <xf numFmtId="0" fontId="15" fillId="11" borderId="2" xfId="0" applyNumberFormat="1" applyFont="1" applyFill="1" applyBorder="1" applyAlignment="1" applyProtection="1"/>
    <xf numFmtId="0" fontId="0" fillId="0" borderId="2" xfId="0" applyNumberFormat="1" applyFont="1" applyBorder="1" applyAlignment="1" applyProtection="1"/>
    <xf numFmtId="165" fontId="0" fillId="11" borderId="4" xfId="0" applyNumberFormat="1" applyFont="1" applyFill="1" applyBorder="1" applyAlignment="1" applyProtection="1">
      <protection locked="0"/>
    </xf>
    <xf numFmtId="0" fontId="0" fillId="11" borderId="4" xfId="0" applyFont="1" applyFill="1" applyBorder="1" applyAlignment="1" applyProtection="1">
      <protection locked="0"/>
    </xf>
    <xf numFmtId="0" fontId="0" fillId="11" borderId="4" xfId="0" applyNumberFormat="1" applyFont="1" applyFill="1" applyBorder="1" applyAlignment="1" applyProtection="1"/>
    <xf numFmtId="0" fontId="0" fillId="11" borderId="2" xfId="0" applyFont="1" applyFill="1" applyBorder="1" applyAlignment="1" applyProtection="1">
      <protection locked="0"/>
    </xf>
    <xf numFmtId="0" fontId="0" fillId="11" borderId="2" xfId="0" applyNumberFormat="1" applyFont="1" applyFill="1" applyBorder="1" applyAlignment="1" applyProtection="1"/>
    <xf numFmtId="165" fontId="8" fillId="18" borderId="4" xfId="0" applyNumberFormat="1" applyFont="1" applyFill="1" applyBorder="1" applyAlignment="1" applyProtection="1">
      <protection locked="0"/>
    </xf>
    <xf numFmtId="0" fontId="8" fillId="18" borderId="4" xfId="0" applyFont="1" applyFill="1" applyBorder="1" applyAlignment="1" applyProtection="1">
      <protection locked="0"/>
    </xf>
    <xf numFmtId="0" fontId="8" fillId="18" borderId="4" xfId="0" applyNumberFormat="1" applyFont="1" applyFill="1" applyBorder="1" applyAlignment="1" applyProtection="1"/>
    <xf numFmtId="0" fontId="8" fillId="18" borderId="2" xfId="0" applyFont="1" applyFill="1" applyBorder="1" applyAlignment="1" applyProtection="1">
      <protection locked="0"/>
    </xf>
    <xf numFmtId="0" fontId="0" fillId="18" borderId="2" xfId="0" applyNumberFormat="1" applyFont="1" applyFill="1" applyBorder="1" applyAlignment="1" applyProtection="1"/>
    <xf numFmtId="0" fontId="8" fillId="18" borderId="2" xfId="0" applyNumberFormat="1" applyFont="1" applyFill="1" applyBorder="1" applyAlignment="1" applyProtection="1"/>
    <xf numFmtId="165" fontId="0" fillId="17" borderId="4" xfId="0" applyNumberFormat="1" applyFont="1" applyFill="1" applyBorder="1" applyAlignment="1" applyProtection="1">
      <protection locked="0"/>
    </xf>
    <xf numFmtId="0" fontId="0" fillId="17" borderId="4" xfId="0" applyFont="1" applyFill="1" applyBorder="1" applyAlignment="1" applyProtection="1">
      <protection locked="0"/>
    </xf>
    <xf numFmtId="0" fontId="0" fillId="17" borderId="4" xfId="0" applyNumberFormat="1" applyFont="1" applyFill="1" applyBorder="1" applyAlignment="1" applyProtection="1"/>
    <xf numFmtId="0" fontId="0" fillId="11" borderId="12" xfId="0" applyFont="1" applyFill="1" applyBorder="1" applyAlignment="1" applyProtection="1">
      <protection locked="0"/>
    </xf>
    <xf numFmtId="0" fontId="0" fillId="0" borderId="12" xfId="0" applyNumberFormat="1" applyFont="1" applyBorder="1" applyAlignment="1" applyProtection="1"/>
    <xf numFmtId="0" fontId="0" fillId="11" borderId="12" xfId="0" applyNumberFormat="1" applyFont="1" applyFill="1" applyBorder="1" applyAlignment="1" applyProtection="1"/>
    <xf numFmtId="0" fontId="0" fillId="0" borderId="13" xfId="0" applyFont="1" applyBorder="1" applyAlignment="1" applyProtection="1">
      <protection locked="0"/>
    </xf>
    <xf numFmtId="165" fontId="0" fillId="0" borderId="5" xfId="0" applyNumberFormat="1" applyFont="1" applyBorder="1" applyAlignment="1" applyProtection="1">
      <protection locked="0"/>
    </xf>
    <xf numFmtId="0" fontId="0" fillId="0" borderId="2" xfId="0" applyBorder="1" applyProtection="1">
      <protection locked="0"/>
    </xf>
    <xf numFmtId="165" fontId="0" fillId="0" borderId="15" xfId="0" applyNumberFormat="1" applyFont="1" applyBorder="1" applyAlignment="1" applyProtection="1">
      <protection locked="0"/>
    </xf>
    <xf numFmtId="0" fontId="0" fillId="0" borderId="13" xfId="0" applyBorder="1" applyProtection="1">
      <protection locked="0"/>
    </xf>
    <xf numFmtId="0" fontId="0" fillId="0" borderId="13" xfId="0" applyNumberFormat="1" applyFont="1" applyBorder="1" applyAlignment="1" applyProtection="1"/>
    <xf numFmtId="0" fontId="0" fillId="11" borderId="13" xfId="0" applyNumberFormat="1" applyFont="1" applyFill="1" applyBorder="1" applyAlignment="1" applyProtection="1"/>
    <xf numFmtId="165" fontId="0" fillId="0" borderId="10" xfId="0" applyNumberFormat="1" applyFont="1" applyBorder="1" applyAlignment="1" applyProtection="1">
      <protection locked="0"/>
    </xf>
    <xf numFmtId="0" fontId="0" fillId="0" borderId="10" xfId="0" applyBorder="1" applyProtection="1">
      <protection locked="0"/>
    </xf>
    <xf numFmtId="0" fontId="0" fillId="0" borderId="10" xfId="0" applyNumberFormat="1" applyFont="1" applyBorder="1" applyAlignment="1" applyProtection="1"/>
    <xf numFmtId="0" fontId="0" fillId="11" borderId="10" xfId="0" applyNumberFormat="1" applyFont="1" applyFill="1" applyBorder="1" applyAlignment="1" applyProtection="1"/>
    <xf numFmtId="165" fontId="8" fillId="11" borderId="4" xfId="0" applyNumberFormat="1" applyFont="1" applyFill="1" applyBorder="1"/>
    <xf numFmtId="0" fontId="0" fillId="11" borderId="10" xfId="0" applyFill="1" applyBorder="1"/>
    <xf numFmtId="0" fontId="8" fillId="18" borderId="2" xfId="0" applyFont="1" applyFill="1" applyBorder="1"/>
    <xf numFmtId="0" fontId="0" fillId="0" borderId="7" xfId="0" applyBorder="1"/>
    <xf numFmtId="0" fontId="0" fillId="17" borderId="12" xfId="0" applyFill="1" applyBorder="1"/>
    <xf numFmtId="165" fontId="0" fillId="0" borderId="5" xfId="0" applyNumberFormat="1" applyBorder="1"/>
    <xf numFmtId="165" fontId="0" fillId="17" borderId="5" xfId="0" applyNumberFormat="1" applyFill="1" applyBorder="1"/>
    <xf numFmtId="0" fontId="0" fillId="17" borderId="2" xfId="0" applyFill="1" applyBorder="1"/>
    <xf numFmtId="165" fontId="0" fillId="0" borderId="15" xfId="0" applyNumberFormat="1" applyBorder="1"/>
    <xf numFmtId="0" fontId="0" fillId="0" borderId="16" xfId="0" applyBorder="1"/>
    <xf numFmtId="0" fontId="0" fillId="18" borderId="7" xfId="0" applyFill="1" applyBorder="1"/>
    <xf numFmtId="0" fontId="0" fillId="18" borderId="14" xfId="0" applyFill="1" applyBorder="1"/>
    <xf numFmtId="0" fontId="0" fillId="11" borderId="0" xfId="0" applyFill="1" applyBorder="1"/>
    <xf numFmtId="165" fontId="0" fillId="17" borderId="15" xfId="0" applyNumberFormat="1" applyFill="1" applyBorder="1"/>
    <xf numFmtId="0" fontId="0" fillId="17" borderId="13" xfId="0" applyFill="1" applyBorder="1"/>
    <xf numFmtId="165" fontId="0" fillId="21" borderId="4" xfId="0" applyNumberFormat="1" applyFill="1" applyBorder="1"/>
    <xf numFmtId="0" fontId="0" fillId="21" borderId="4" xfId="0" applyFill="1" applyBorder="1"/>
    <xf numFmtId="165" fontId="3" fillId="17" borderId="4" xfId="0" applyNumberFormat="1" applyFont="1" applyFill="1" applyBorder="1"/>
    <xf numFmtId="0" fontId="3" fillId="17" borderId="4" xfId="0" applyFont="1" applyFill="1" applyBorder="1"/>
    <xf numFmtId="0" fontId="3" fillId="11" borderId="4" xfId="0" applyFont="1" applyFill="1" applyBorder="1"/>
    <xf numFmtId="0" fontId="3" fillId="11" borderId="12" xfId="0" applyFont="1" applyFill="1" applyBorder="1"/>
    <xf numFmtId="0" fontId="3" fillId="11" borderId="10" xfId="0" applyFont="1" applyFill="1" applyBorder="1"/>
    <xf numFmtId="0" fontId="9" fillId="20" borderId="0" xfId="2" applyFill="1" applyBorder="1"/>
    <xf numFmtId="0" fontId="9" fillId="0" borderId="0" xfId="2"/>
    <xf numFmtId="165" fontId="0" fillId="17" borderId="10" xfId="0" applyNumberFormat="1" applyFill="1" applyBorder="1"/>
    <xf numFmtId="0" fontId="18" fillId="17" borderId="10" xfId="0" applyFont="1" applyFill="1" applyBorder="1"/>
    <xf numFmtId="165" fontId="0" fillId="22" borderId="4" xfId="0" applyNumberFormat="1" applyFill="1" applyBorder="1"/>
    <xf numFmtId="0" fontId="0" fillId="22" borderId="2" xfId="0" applyFill="1" applyBorder="1"/>
    <xf numFmtId="0" fontId="0" fillId="17" borderId="10" xfId="0" applyFill="1" applyBorder="1"/>
    <xf numFmtId="165" fontId="0" fillId="11" borderId="10" xfId="0" applyNumberFormat="1" applyFill="1" applyBorder="1"/>
    <xf numFmtId="0" fontId="9" fillId="20" borderId="2" xfId="2" applyFill="1" applyBorder="1"/>
    <xf numFmtId="165" fontId="0" fillId="17" borderId="12" xfId="0" applyNumberFormat="1" applyFill="1" applyBorder="1"/>
    <xf numFmtId="165" fontId="0" fillId="11" borderId="0" xfId="0" applyNumberFormat="1" applyFill="1" applyBorder="1"/>
    <xf numFmtId="0" fontId="0" fillId="11" borderId="13" xfId="0" applyFill="1" applyBorder="1"/>
    <xf numFmtId="0" fontId="0" fillId="23" borderId="2" xfId="0" applyFill="1" applyBorder="1"/>
    <xf numFmtId="0" fontId="0" fillId="24" borderId="2" xfId="0" applyFill="1" applyBorder="1"/>
    <xf numFmtId="0" fontId="0" fillId="24" borderId="4" xfId="0" applyFill="1" applyBorder="1"/>
    <xf numFmtId="165" fontId="0" fillId="24" borderId="4" xfId="0" applyNumberFormat="1" applyFill="1" applyBorder="1"/>
    <xf numFmtId="0" fontId="8" fillId="16" borderId="5" xfId="0" applyFont="1" applyFill="1" applyBorder="1"/>
    <xf numFmtId="165" fontId="8" fillId="18" borderId="5" xfId="0" applyNumberFormat="1" applyFont="1" applyFill="1" applyBorder="1"/>
    <xf numFmtId="165" fontId="0" fillId="0" borderId="7" xfId="0" applyNumberFormat="1" applyBorder="1"/>
    <xf numFmtId="0" fontId="8" fillId="19" borderId="11" xfId="0" applyFont="1" applyFill="1" applyBorder="1"/>
    <xf numFmtId="165" fontId="8" fillId="19" borderId="4" xfId="0" applyNumberFormat="1" applyFont="1" applyFill="1" applyBorder="1"/>
    <xf numFmtId="165" fontId="0" fillId="25" borderId="4" xfId="0" applyNumberFormat="1" applyFill="1" applyBorder="1"/>
    <xf numFmtId="0" fontId="0" fillId="25" borderId="4" xfId="0" applyFill="1" applyBorder="1"/>
    <xf numFmtId="0" fontId="2" fillId="0" borderId="0" xfId="1" applyFont="1" applyBorder="1" applyAlignment="1">
      <alignment horizontal="center" vertical="top"/>
    </xf>
    <xf numFmtId="0" fontId="1" fillId="0" borderId="0" xfId="1" applyFont="1" applyBorder="1"/>
    <xf numFmtId="0" fontId="4" fillId="0" borderId="1" xfId="1" applyFont="1" applyBorder="1"/>
    <xf numFmtId="0" fontId="5" fillId="0" borderId="0" xfId="0" applyFont="1"/>
    <xf numFmtId="0" fontId="2" fillId="2" borderId="0" xfId="1" applyFont="1" applyFill="1" applyBorder="1" applyAlignment="1">
      <alignment horizontal="center" vertical="top"/>
    </xf>
    <xf numFmtId="0" fontId="7" fillId="8" borderId="0" xfId="1" applyFont="1" applyFill="1" applyBorder="1"/>
    <xf numFmtId="0" fontId="14" fillId="13" borderId="0" xfId="0" applyFont="1" applyFill="1" applyAlignment="1">
      <alignment horizontal="center"/>
    </xf>
    <xf numFmtId="0" fontId="14" fillId="13" borderId="0" xfId="0" applyFont="1" applyFill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H55"/>
  <sheetViews>
    <sheetView topLeftCell="A4" zoomScale="70" zoomScaleNormal="70" workbookViewId="0">
      <selection activeCell="F10" sqref="F10"/>
    </sheetView>
  </sheetViews>
  <sheetFormatPr defaultRowHeight="14.4"/>
  <cols>
    <col min="3" max="3" width="9.109375" customWidth="1"/>
    <col min="4" max="4" width="17" bestFit="1" customWidth="1"/>
    <col min="5" max="5" width="8.33203125" customWidth="1"/>
    <col min="6" max="13" width="4.44140625" bestFit="1" customWidth="1"/>
    <col min="14" max="18" width="6.5546875" bestFit="1" customWidth="1"/>
    <col min="19" max="19" width="12.5546875" bestFit="1" customWidth="1"/>
    <col min="20" max="20" width="15" bestFit="1" customWidth="1"/>
    <col min="21" max="32" width="6.5546875" bestFit="1" customWidth="1"/>
    <col min="33" max="33" width="10.5546875" customWidth="1"/>
    <col min="34" max="34" width="6.5546875" bestFit="1" customWidth="1"/>
    <col min="35" max="35" width="15" customWidth="1"/>
    <col min="36" max="36" width="15.109375" customWidth="1"/>
    <col min="37" max="37" width="10.5546875" bestFit="1" customWidth="1"/>
    <col min="41" max="41" width="17" bestFit="1" customWidth="1"/>
    <col min="42" max="50" width="4.44140625" bestFit="1" customWidth="1"/>
    <col min="51" max="68" width="6.5546875" bestFit="1" customWidth="1"/>
    <col min="69" max="69" width="14.88671875" customWidth="1"/>
    <col min="70" max="71" width="6.5546875" bestFit="1" customWidth="1"/>
    <col min="72" max="72" width="6.88671875" customWidth="1"/>
    <col min="73" max="73" width="17" customWidth="1"/>
    <col min="74" max="74" width="10.5546875" bestFit="1" customWidth="1"/>
    <col min="77" max="77" width="17" bestFit="1" customWidth="1"/>
    <col min="78" max="86" width="4.44140625" bestFit="1" customWidth="1"/>
    <col min="87" max="105" width="6.5546875" bestFit="1" customWidth="1"/>
    <col min="106" max="106" width="9.44140625" customWidth="1"/>
    <col min="107" max="107" width="6.5546875" bestFit="1" customWidth="1"/>
    <col min="108" max="108" width="13.44140625" customWidth="1"/>
    <col min="109" max="109" width="13.88671875" customWidth="1"/>
    <col min="110" max="110" width="10.5546875" bestFit="1" customWidth="1"/>
  </cols>
  <sheetData>
    <row r="3" spans="3:112" ht="36.6">
      <c r="C3" s="1"/>
      <c r="D3" s="2"/>
      <c r="E3" s="201" t="s">
        <v>0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3"/>
      <c r="AJ3" s="3"/>
      <c r="AK3" s="3"/>
      <c r="AL3" s="3"/>
      <c r="AM3" s="3"/>
      <c r="AN3" s="3"/>
      <c r="AO3" s="2"/>
      <c r="AP3" s="197" t="s">
        <v>1</v>
      </c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4"/>
      <c r="BU3" s="4"/>
      <c r="BV3" s="4"/>
      <c r="BW3" s="3"/>
      <c r="BX3" s="3"/>
      <c r="BY3" s="2"/>
      <c r="BZ3" s="197" t="s">
        <v>2</v>
      </c>
      <c r="CA3" s="197"/>
      <c r="CB3" s="197"/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197"/>
      <c r="CP3" s="197"/>
      <c r="CQ3" s="197"/>
      <c r="CR3" s="197"/>
      <c r="CS3" s="197"/>
      <c r="CT3" s="197"/>
      <c r="CU3" s="197"/>
      <c r="CV3" s="197"/>
      <c r="CW3" s="197"/>
      <c r="CX3" s="197"/>
      <c r="CY3" s="197"/>
      <c r="CZ3" s="197"/>
      <c r="DA3" s="197"/>
      <c r="DB3" s="197"/>
      <c r="DC3" s="197"/>
      <c r="DD3" s="4"/>
      <c r="DE3" s="4"/>
      <c r="DF3" s="4"/>
    </row>
    <row r="4" spans="3:112" ht="25.8">
      <c r="D4" s="198"/>
      <c r="E4" s="198"/>
      <c r="F4" s="198"/>
      <c r="G4" s="198"/>
      <c r="H4" s="198"/>
      <c r="I4" s="198"/>
      <c r="J4" s="198"/>
      <c r="K4" s="198"/>
      <c r="L4" s="198"/>
      <c r="M4" s="2"/>
      <c r="N4" s="2"/>
      <c r="O4" s="2"/>
      <c r="P4" s="2"/>
      <c r="Q4" s="3"/>
      <c r="R4" s="3"/>
      <c r="S4" s="3"/>
      <c r="T4" s="3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98"/>
      <c r="AP4" s="198"/>
      <c r="AQ4" s="198"/>
      <c r="AR4" s="198"/>
      <c r="AS4" s="198"/>
      <c r="AT4" s="198"/>
      <c r="AU4" s="198"/>
      <c r="AV4" s="198"/>
      <c r="AW4" s="198"/>
      <c r="AX4" s="2"/>
      <c r="AY4" s="2"/>
      <c r="AZ4" s="2"/>
      <c r="BA4" s="2"/>
      <c r="BB4" s="4"/>
      <c r="BC4" s="4"/>
      <c r="BD4" s="4"/>
      <c r="BE4" s="4"/>
      <c r="BF4" s="5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3"/>
      <c r="BX4" s="3"/>
      <c r="BY4" s="198"/>
      <c r="BZ4" s="198"/>
      <c r="CA4" s="198"/>
      <c r="CB4" s="198"/>
      <c r="CC4" s="198"/>
      <c r="CD4" s="198"/>
      <c r="CE4" s="198"/>
      <c r="CF4" s="198"/>
      <c r="CG4" s="198"/>
      <c r="CH4" s="2"/>
      <c r="CI4" s="2"/>
      <c r="CJ4" s="2"/>
      <c r="CK4" s="2"/>
      <c r="CL4" s="4"/>
      <c r="CM4" s="4"/>
      <c r="CN4" s="4"/>
      <c r="CO4" s="4"/>
      <c r="CP4" s="5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</row>
    <row r="5" spans="3:112" ht="25.8">
      <c r="D5" s="199" t="s">
        <v>3</v>
      </c>
      <c r="E5" s="199"/>
      <c r="F5" s="199"/>
      <c r="G5" s="199"/>
      <c r="H5" s="199"/>
      <c r="I5" s="199"/>
      <c r="J5" s="199"/>
      <c r="K5" s="199"/>
      <c r="L5" s="199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200" t="s">
        <v>4</v>
      </c>
      <c r="AE5" s="200"/>
      <c r="AF5" s="200"/>
      <c r="AG5" s="200"/>
      <c r="AH5" s="3"/>
      <c r="AI5" s="4"/>
      <c r="AJ5" s="4"/>
      <c r="AK5" s="3"/>
      <c r="AL5" s="3"/>
      <c r="AM5" s="3"/>
      <c r="AN5" s="3"/>
      <c r="AO5" s="199" t="s">
        <v>3</v>
      </c>
      <c r="AP5" s="199"/>
      <c r="AQ5" s="199"/>
      <c r="AR5" s="199"/>
      <c r="AS5" s="199"/>
      <c r="AT5" s="199"/>
      <c r="AU5" s="199"/>
      <c r="AV5" s="199"/>
      <c r="AW5" s="199"/>
      <c r="AX5" s="2"/>
      <c r="AY5" s="2"/>
      <c r="AZ5" s="2"/>
      <c r="BA5" s="2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200" t="s">
        <v>4</v>
      </c>
      <c r="BP5" s="200"/>
      <c r="BQ5" s="200"/>
      <c r="BR5" s="200"/>
      <c r="BS5" s="4"/>
      <c r="BT5" s="4"/>
      <c r="BU5" s="4"/>
      <c r="BV5" s="4"/>
      <c r="BW5" s="3"/>
      <c r="BX5" s="3"/>
      <c r="BY5" s="199" t="s">
        <v>3</v>
      </c>
      <c r="BZ5" s="199"/>
      <c r="CA5" s="199"/>
      <c r="CB5" s="199"/>
      <c r="CC5" s="199"/>
      <c r="CD5" s="199"/>
      <c r="CE5" s="199"/>
      <c r="CF5" s="199"/>
      <c r="CG5" s="199"/>
      <c r="CH5" s="2"/>
      <c r="CI5" s="2"/>
      <c r="CJ5" s="2"/>
      <c r="CK5" s="2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200" t="s">
        <v>4</v>
      </c>
      <c r="CZ5" s="200"/>
      <c r="DA5" s="200"/>
      <c r="DB5" s="200"/>
      <c r="DC5" s="4"/>
      <c r="DD5" s="4"/>
      <c r="DE5" s="4"/>
      <c r="DF5" s="4"/>
    </row>
    <row r="6" spans="3:112" ht="25.8">
      <c r="D6" s="6" t="s">
        <v>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  <c r="O6" s="7">
        <v>11</v>
      </c>
      <c r="P6" s="7">
        <v>12</v>
      </c>
      <c r="Q6" s="7">
        <v>13</v>
      </c>
      <c r="R6" s="7">
        <v>14</v>
      </c>
      <c r="S6" s="7">
        <v>15</v>
      </c>
      <c r="T6" s="7">
        <v>16</v>
      </c>
      <c r="U6" s="7">
        <v>17</v>
      </c>
      <c r="V6" s="7">
        <v>18</v>
      </c>
      <c r="W6" s="7">
        <v>19</v>
      </c>
      <c r="X6" s="7">
        <v>20</v>
      </c>
      <c r="Y6" s="7">
        <v>21</v>
      </c>
      <c r="Z6" s="7">
        <v>22</v>
      </c>
      <c r="AA6" s="7">
        <v>23</v>
      </c>
      <c r="AB6" s="7">
        <v>24</v>
      </c>
      <c r="AC6" s="7">
        <v>25</v>
      </c>
      <c r="AD6" s="7">
        <v>26</v>
      </c>
      <c r="AE6" s="7">
        <v>27</v>
      </c>
      <c r="AF6" s="7">
        <v>28</v>
      </c>
      <c r="AG6" s="7">
        <v>29</v>
      </c>
      <c r="AH6" s="7">
        <v>30</v>
      </c>
      <c r="AI6" s="7">
        <v>31</v>
      </c>
      <c r="AJ6" s="7">
        <v>32</v>
      </c>
      <c r="AK6" s="8" t="s">
        <v>6</v>
      </c>
      <c r="AL6" s="2"/>
      <c r="AM6" s="2"/>
      <c r="AN6" s="2"/>
      <c r="AO6" s="6" t="s">
        <v>5</v>
      </c>
      <c r="AP6" s="7">
        <v>1</v>
      </c>
      <c r="AQ6" s="7">
        <v>2</v>
      </c>
      <c r="AR6" s="7">
        <v>3</v>
      </c>
      <c r="AS6" s="7">
        <v>4</v>
      </c>
      <c r="AT6" s="7">
        <v>5</v>
      </c>
      <c r="AU6" s="7">
        <v>6</v>
      </c>
      <c r="AV6" s="7">
        <v>7</v>
      </c>
      <c r="AW6" s="7">
        <v>8</v>
      </c>
      <c r="AX6" s="7">
        <v>9</v>
      </c>
      <c r="AY6" s="7">
        <v>10</v>
      </c>
      <c r="AZ6" s="7">
        <v>11</v>
      </c>
      <c r="BA6" s="7">
        <v>12</v>
      </c>
      <c r="BB6" s="7">
        <v>13</v>
      </c>
      <c r="BC6" s="7">
        <v>14</v>
      </c>
      <c r="BD6" s="7">
        <v>15</v>
      </c>
      <c r="BE6" s="7">
        <v>16</v>
      </c>
      <c r="BF6" s="7">
        <v>17</v>
      </c>
      <c r="BG6" s="7">
        <v>18</v>
      </c>
      <c r="BH6" s="7">
        <v>19</v>
      </c>
      <c r="BI6" s="7">
        <v>20</v>
      </c>
      <c r="BJ6" s="7">
        <v>21</v>
      </c>
      <c r="BK6" s="7">
        <v>22</v>
      </c>
      <c r="BL6" s="7">
        <v>23</v>
      </c>
      <c r="BM6" s="7">
        <v>24</v>
      </c>
      <c r="BN6" s="7">
        <v>25</v>
      </c>
      <c r="BO6" s="7">
        <v>26</v>
      </c>
      <c r="BP6" s="7">
        <v>27</v>
      </c>
      <c r="BQ6" s="7">
        <v>28</v>
      </c>
      <c r="BR6" s="7">
        <v>29</v>
      </c>
      <c r="BS6" s="7">
        <v>30</v>
      </c>
      <c r="BT6" s="7">
        <v>31</v>
      </c>
      <c r="BU6" s="7">
        <v>32</v>
      </c>
      <c r="BV6" s="8" t="s">
        <v>6</v>
      </c>
      <c r="BW6" s="2"/>
      <c r="BX6" s="2"/>
      <c r="BY6" s="6" t="s">
        <v>5</v>
      </c>
      <c r="BZ6" s="7">
        <v>1</v>
      </c>
      <c r="CA6" s="7">
        <v>2</v>
      </c>
      <c r="CB6" s="7">
        <v>3</v>
      </c>
      <c r="CC6" s="7">
        <v>4</v>
      </c>
      <c r="CD6" s="7">
        <v>5</v>
      </c>
      <c r="CE6" s="7">
        <v>6</v>
      </c>
      <c r="CF6" s="7">
        <v>7</v>
      </c>
      <c r="CG6" s="7">
        <v>8</v>
      </c>
      <c r="CH6" s="7">
        <v>9</v>
      </c>
      <c r="CI6" s="7">
        <v>10</v>
      </c>
      <c r="CJ6" s="7">
        <v>11</v>
      </c>
      <c r="CK6" s="7">
        <v>12</v>
      </c>
      <c r="CL6" s="7">
        <v>13</v>
      </c>
      <c r="CM6" s="7">
        <v>14</v>
      </c>
      <c r="CN6" s="7">
        <v>15</v>
      </c>
      <c r="CO6" s="7">
        <v>16</v>
      </c>
      <c r="CP6" s="7">
        <v>17</v>
      </c>
      <c r="CQ6" s="7">
        <v>18</v>
      </c>
      <c r="CR6" s="7">
        <v>19</v>
      </c>
      <c r="CS6" s="7">
        <v>20</v>
      </c>
      <c r="CT6" s="7">
        <v>21</v>
      </c>
      <c r="CU6" s="7">
        <v>22</v>
      </c>
      <c r="CV6" s="7">
        <v>23</v>
      </c>
      <c r="CW6" s="7">
        <v>24</v>
      </c>
      <c r="CX6" s="7">
        <v>25</v>
      </c>
      <c r="CY6" s="7">
        <v>26</v>
      </c>
      <c r="CZ6" s="7">
        <v>27</v>
      </c>
      <c r="DA6" s="7">
        <v>28</v>
      </c>
      <c r="DB6" s="7">
        <v>29</v>
      </c>
      <c r="DC6" s="7">
        <v>30</v>
      </c>
      <c r="DD6" s="7">
        <v>31</v>
      </c>
      <c r="DE6" s="7">
        <v>32</v>
      </c>
      <c r="DF6" s="8" t="s">
        <v>6</v>
      </c>
      <c r="DG6" s="2"/>
      <c r="DH6" s="2"/>
    </row>
    <row r="7" spans="3:112" ht="25.8">
      <c r="D7" s="9" t="s">
        <v>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2"/>
      <c r="AM7" s="2"/>
      <c r="AN7" s="2"/>
      <c r="AO7" s="9" t="s">
        <v>7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1">
        <v>0</v>
      </c>
      <c r="BW7" s="3"/>
      <c r="BX7" s="3"/>
      <c r="BY7" s="9" t="s">
        <v>7</v>
      </c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1">
        <v>0</v>
      </c>
    </row>
    <row r="8" spans="3:112" ht="25.8">
      <c r="D8" s="9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/>
      <c r="AL8" s="2"/>
      <c r="AM8" s="2"/>
      <c r="AN8" s="2"/>
      <c r="AO8" s="9" t="s">
        <v>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1">
        <v>0</v>
      </c>
      <c r="BW8" s="3"/>
      <c r="BX8" s="3"/>
      <c r="BY8" s="9" t="s">
        <v>8</v>
      </c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1">
        <v>0</v>
      </c>
    </row>
    <row r="9" spans="3:112" ht="25.8">
      <c r="D9" s="9" t="s">
        <v>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2"/>
      <c r="AM9" s="2"/>
      <c r="AN9" s="2"/>
      <c r="AO9" s="9" t="s">
        <v>9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1">
        <v>0</v>
      </c>
      <c r="BW9" s="3"/>
      <c r="BX9" s="3"/>
      <c r="BY9" s="9" t="s">
        <v>9</v>
      </c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1">
        <v>0</v>
      </c>
    </row>
    <row r="10" spans="3:112" ht="25.8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/>
      <c r="AL10" s="2"/>
      <c r="AM10" s="2"/>
      <c r="AN10" s="2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1">
        <v>0</v>
      </c>
      <c r="BW10" s="3"/>
      <c r="BX10" s="3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1">
        <v>0</v>
      </c>
    </row>
    <row r="11" spans="3:112" ht="25.8">
      <c r="D11" s="12" t="s">
        <v>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  <c r="AL11" s="2"/>
      <c r="AM11" s="2"/>
      <c r="AN11" s="2"/>
      <c r="AO11" s="12" t="s">
        <v>10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1">
        <v>0</v>
      </c>
      <c r="BW11" s="3"/>
      <c r="BX11" s="3"/>
      <c r="BY11" s="12" t="s">
        <v>10</v>
      </c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1">
        <v>0</v>
      </c>
    </row>
    <row r="12" spans="3:112" ht="25.8">
      <c r="D12" s="9" t="s">
        <v>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/>
      <c r="AL12" s="2"/>
      <c r="AM12" s="2"/>
      <c r="AN12" s="2"/>
      <c r="AO12" s="9" t="s">
        <v>7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1"/>
      <c r="BW12" s="3"/>
      <c r="BX12" s="3"/>
      <c r="BY12" s="9" t="s">
        <v>7</v>
      </c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1"/>
    </row>
    <row r="13" spans="3:112" ht="25.8">
      <c r="D13" s="9" t="s">
        <v>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/>
      <c r="AL13" s="2"/>
      <c r="AM13" s="2"/>
      <c r="AN13" s="2"/>
      <c r="AO13" s="9" t="s">
        <v>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1"/>
      <c r="BW13" s="3"/>
      <c r="BX13" s="3"/>
      <c r="BY13" s="9" t="s">
        <v>8</v>
      </c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1"/>
    </row>
    <row r="14" spans="3:112" ht="25.8">
      <c r="D14" s="9" t="s">
        <v>9</v>
      </c>
      <c r="E14" s="10"/>
      <c r="F14" s="10"/>
      <c r="G14" s="10"/>
      <c r="H14" s="10"/>
      <c r="I14" s="1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/>
      <c r="AL14" s="2"/>
      <c r="AM14" s="2"/>
      <c r="AN14" s="2"/>
      <c r="AO14" s="9" t="s">
        <v>9</v>
      </c>
      <c r="AP14" s="10"/>
      <c r="AQ14" s="10"/>
      <c r="AR14" s="10"/>
      <c r="AS14" s="10"/>
      <c r="AT14" s="13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1"/>
      <c r="BW14" s="3"/>
      <c r="BX14" s="3"/>
      <c r="BY14" s="9" t="s">
        <v>9</v>
      </c>
      <c r="BZ14" s="10"/>
      <c r="CA14" s="10"/>
      <c r="CB14" s="10"/>
      <c r="CC14" s="10"/>
      <c r="CD14" s="13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1"/>
    </row>
    <row r="15" spans="3:112" ht="25.8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/>
      <c r="AL15" s="2"/>
      <c r="AM15" s="2"/>
      <c r="AN15" s="2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1"/>
      <c r="BW15" s="3"/>
      <c r="BX15" s="3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1"/>
    </row>
    <row r="16" spans="3:112" ht="25.8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3"/>
      <c r="BX16" s="3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</row>
    <row r="17" spans="4:110" ht="25.8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3"/>
      <c r="BX17" s="3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</row>
    <row r="18" spans="4:110" ht="25.8">
      <c r="D18" s="199" t="s">
        <v>11</v>
      </c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99" t="s">
        <v>12</v>
      </c>
      <c r="AH18" s="199"/>
      <c r="AI18" s="199"/>
      <c r="AJ18" s="199"/>
      <c r="AK18" s="2"/>
      <c r="AL18" s="2"/>
      <c r="AM18" s="2"/>
      <c r="AN18" s="2"/>
      <c r="AO18" s="199" t="s">
        <v>11</v>
      </c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199" t="s">
        <v>12</v>
      </c>
      <c r="BS18" s="199"/>
      <c r="BT18" s="199"/>
      <c r="BU18" s="199"/>
      <c r="BV18" s="2"/>
      <c r="BW18" s="3"/>
      <c r="BX18" s="3"/>
      <c r="BY18" s="199" t="s">
        <v>11</v>
      </c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199" t="s">
        <v>12</v>
      </c>
      <c r="DC18" s="199"/>
      <c r="DD18" s="199"/>
      <c r="DE18" s="199"/>
      <c r="DF18" s="2"/>
    </row>
    <row r="19" spans="4:110" ht="25.8">
      <c r="D19" s="6" t="s">
        <v>5</v>
      </c>
      <c r="E19" s="7">
        <v>1</v>
      </c>
      <c r="F19" s="7">
        <v>2</v>
      </c>
      <c r="G19" s="7">
        <v>3</v>
      </c>
      <c r="H19" s="7">
        <v>4</v>
      </c>
      <c r="I19" s="7">
        <v>5</v>
      </c>
      <c r="J19" s="7">
        <v>6</v>
      </c>
      <c r="K19" s="7">
        <v>7</v>
      </c>
      <c r="L19" s="7">
        <v>8</v>
      </c>
      <c r="M19" s="7">
        <v>9</v>
      </c>
      <c r="N19" s="7">
        <v>10</v>
      </c>
      <c r="O19" s="7">
        <v>11</v>
      </c>
      <c r="P19" s="7">
        <v>12</v>
      </c>
      <c r="Q19" s="7">
        <v>13</v>
      </c>
      <c r="R19" s="7">
        <v>14</v>
      </c>
      <c r="S19" s="7">
        <v>15</v>
      </c>
      <c r="T19" s="7">
        <v>16</v>
      </c>
      <c r="U19" s="7">
        <v>17</v>
      </c>
      <c r="V19" s="7">
        <v>18</v>
      </c>
      <c r="W19" s="7">
        <v>19</v>
      </c>
      <c r="X19" s="7">
        <v>20</v>
      </c>
      <c r="Y19" s="7">
        <v>21</v>
      </c>
      <c r="Z19" s="7">
        <v>22</v>
      </c>
      <c r="AA19" s="7">
        <v>23</v>
      </c>
      <c r="AB19" s="7">
        <v>24</v>
      </c>
      <c r="AC19" s="7">
        <v>25</v>
      </c>
      <c r="AD19" s="7">
        <v>26</v>
      </c>
      <c r="AE19" s="7">
        <v>27</v>
      </c>
      <c r="AF19" s="7">
        <v>28</v>
      </c>
      <c r="AG19" s="7">
        <v>29</v>
      </c>
      <c r="AH19" s="7">
        <v>30</v>
      </c>
      <c r="AI19" s="7">
        <v>31</v>
      </c>
      <c r="AJ19" s="7">
        <v>32</v>
      </c>
      <c r="AK19" s="8" t="s">
        <v>6</v>
      </c>
      <c r="AL19" s="2"/>
      <c r="AM19" s="2"/>
      <c r="AN19" s="2"/>
      <c r="AO19" s="6" t="s">
        <v>5</v>
      </c>
      <c r="AP19" s="7">
        <v>1</v>
      </c>
      <c r="AQ19" s="7">
        <v>2</v>
      </c>
      <c r="AR19" s="7">
        <v>3</v>
      </c>
      <c r="AS19" s="7">
        <v>4</v>
      </c>
      <c r="AT19" s="7">
        <v>5</v>
      </c>
      <c r="AU19" s="7">
        <v>6</v>
      </c>
      <c r="AV19" s="7">
        <v>7</v>
      </c>
      <c r="AW19" s="7">
        <v>8</v>
      </c>
      <c r="AX19" s="7">
        <v>9</v>
      </c>
      <c r="AY19" s="7">
        <v>10</v>
      </c>
      <c r="AZ19" s="7">
        <v>11</v>
      </c>
      <c r="BA19" s="7">
        <v>12</v>
      </c>
      <c r="BB19" s="7">
        <v>13</v>
      </c>
      <c r="BC19" s="7">
        <v>14</v>
      </c>
      <c r="BD19" s="7">
        <v>15</v>
      </c>
      <c r="BE19" s="7">
        <v>16</v>
      </c>
      <c r="BF19" s="7">
        <v>17</v>
      </c>
      <c r="BG19" s="7">
        <v>18</v>
      </c>
      <c r="BH19" s="7">
        <v>19</v>
      </c>
      <c r="BI19" s="7">
        <v>20</v>
      </c>
      <c r="BJ19" s="7">
        <v>21</v>
      </c>
      <c r="BK19" s="7">
        <v>22</v>
      </c>
      <c r="BL19" s="7">
        <v>23</v>
      </c>
      <c r="BM19" s="7">
        <v>24</v>
      </c>
      <c r="BN19" s="7">
        <v>25</v>
      </c>
      <c r="BO19" s="7">
        <v>26</v>
      </c>
      <c r="BP19" s="7">
        <v>27</v>
      </c>
      <c r="BQ19" s="7">
        <v>28</v>
      </c>
      <c r="BR19" s="7">
        <v>29</v>
      </c>
      <c r="BS19" s="7">
        <v>30</v>
      </c>
      <c r="BT19" s="7">
        <v>31</v>
      </c>
      <c r="BU19" s="7">
        <v>32</v>
      </c>
      <c r="BV19" s="8" t="s">
        <v>6</v>
      </c>
      <c r="BW19" s="3"/>
      <c r="BX19" s="3"/>
      <c r="BY19" s="6" t="s">
        <v>5</v>
      </c>
      <c r="BZ19" s="7">
        <v>1</v>
      </c>
      <c r="CA19" s="7">
        <v>2</v>
      </c>
      <c r="CB19" s="7">
        <v>3</v>
      </c>
      <c r="CC19" s="7">
        <v>4</v>
      </c>
      <c r="CD19" s="7">
        <v>5</v>
      </c>
      <c r="CE19" s="7">
        <v>6</v>
      </c>
      <c r="CF19" s="7">
        <v>7</v>
      </c>
      <c r="CG19" s="7">
        <v>8</v>
      </c>
      <c r="CH19" s="7">
        <v>9</v>
      </c>
      <c r="CI19" s="7">
        <v>10</v>
      </c>
      <c r="CJ19" s="7">
        <v>11</v>
      </c>
      <c r="CK19" s="7">
        <v>12</v>
      </c>
      <c r="CL19" s="7">
        <v>13</v>
      </c>
      <c r="CM19" s="7">
        <v>14</v>
      </c>
      <c r="CN19" s="7">
        <v>15</v>
      </c>
      <c r="CO19" s="7">
        <v>16</v>
      </c>
      <c r="CP19" s="7">
        <v>17</v>
      </c>
      <c r="CQ19" s="7">
        <v>18</v>
      </c>
      <c r="CR19" s="7">
        <v>19</v>
      </c>
      <c r="CS19" s="7">
        <v>20</v>
      </c>
      <c r="CT19" s="7">
        <v>21</v>
      </c>
      <c r="CU19" s="7">
        <v>22</v>
      </c>
      <c r="CV19" s="7">
        <v>23</v>
      </c>
      <c r="CW19" s="7">
        <v>24</v>
      </c>
      <c r="CX19" s="7">
        <v>25</v>
      </c>
      <c r="CY19" s="7">
        <v>26</v>
      </c>
      <c r="CZ19" s="7">
        <v>27</v>
      </c>
      <c r="DA19" s="7">
        <v>28</v>
      </c>
      <c r="DB19" s="7">
        <v>29</v>
      </c>
      <c r="DC19" s="7">
        <v>30</v>
      </c>
      <c r="DD19" s="7">
        <v>31</v>
      </c>
      <c r="DE19" s="7">
        <v>32</v>
      </c>
      <c r="DF19" s="8" t="s">
        <v>6</v>
      </c>
    </row>
    <row r="20" spans="4:110" ht="25.8">
      <c r="D20" s="9" t="s">
        <v>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>
        <v>0</v>
      </c>
      <c r="AL20" s="2"/>
      <c r="AM20" s="2"/>
      <c r="AN20" s="2"/>
      <c r="AO20" s="9" t="s">
        <v>7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1">
        <v>0</v>
      </c>
      <c r="BW20" s="3"/>
      <c r="BX20" s="3"/>
      <c r="BY20" s="9" t="s">
        <v>7</v>
      </c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1">
        <v>0</v>
      </c>
    </row>
    <row r="21" spans="4:110" ht="25.8">
      <c r="D21" s="9" t="s">
        <v>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1">
        <v>0</v>
      </c>
      <c r="AL21" s="2"/>
      <c r="AM21" s="2"/>
      <c r="AN21" s="2"/>
      <c r="AO21" s="9" t="s">
        <v>8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1">
        <v>0</v>
      </c>
      <c r="BW21" s="3"/>
      <c r="BX21" s="3"/>
      <c r="BY21" s="9" t="s">
        <v>8</v>
      </c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1">
        <v>0</v>
      </c>
    </row>
    <row r="22" spans="4:110" ht="25.8">
      <c r="D22" s="9" t="s">
        <v>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>
        <v>0</v>
      </c>
      <c r="AL22" s="2"/>
      <c r="AM22" s="2"/>
      <c r="AN22" s="2"/>
      <c r="AO22" s="9" t="s">
        <v>9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1">
        <v>0</v>
      </c>
      <c r="BW22" s="3"/>
      <c r="BX22" s="3"/>
      <c r="BY22" s="9" t="s">
        <v>9</v>
      </c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1">
        <v>0</v>
      </c>
    </row>
    <row r="23" spans="4:110" ht="25.8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1">
        <v>0</v>
      </c>
      <c r="AL23" s="2"/>
      <c r="AM23" s="2"/>
      <c r="AN23" s="2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1">
        <v>0</v>
      </c>
      <c r="BW23" s="3"/>
      <c r="BX23" s="3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1">
        <v>0</v>
      </c>
    </row>
    <row r="24" spans="4:110" ht="25.8">
      <c r="D24" s="12" t="s">
        <v>10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1">
        <v>0</v>
      </c>
      <c r="AL24" s="2"/>
      <c r="AM24" s="2"/>
      <c r="AN24" s="2"/>
      <c r="AO24" s="12" t="s">
        <v>10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1">
        <v>0</v>
      </c>
      <c r="BW24" s="3"/>
      <c r="BX24" s="3"/>
      <c r="BY24" s="12" t="s">
        <v>10</v>
      </c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1">
        <v>0</v>
      </c>
    </row>
    <row r="25" spans="4:110" ht="25.8">
      <c r="D25" s="9" t="s">
        <v>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1">
        <v>0</v>
      </c>
      <c r="AL25" s="2"/>
      <c r="AM25" s="2"/>
      <c r="AN25" s="2"/>
      <c r="AO25" s="9" t="s">
        <v>7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1">
        <v>0</v>
      </c>
      <c r="BW25" s="3"/>
      <c r="BX25" s="3"/>
      <c r="BY25" s="9" t="s">
        <v>7</v>
      </c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1">
        <v>0</v>
      </c>
    </row>
    <row r="26" spans="4:110" ht="25.8">
      <c r="D26" s="9" t="s">
        <v>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1">
        <v>0</v>
      </c>
      <c r="AL26" s="2"/>
      <c r="AM26" s="2"/>
      <c r="AN26" s="2"/>
      <c r="AO26" s="9" t="s">
        <v>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1">
        <v>0</v>
      </c>
      <c r="BW26" s="3"/>
      <c r="BX26" s="3"/>
      <c r="BY26" s="9" t="s">
        <v>8</v>
      </c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1">
        <v>0</v>
      </c>
    </row>
    <row r="27" spans="4:110" ht="25.8">
      <c r="D27" s="9" t="s">
        <v>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1">
        <v>0</v>
      </c>
      <c r="AL27" s="2"/>
      <c r="AM27" s="2"/>
      <c r="AN27" s="2"/>
      <c r="AO27" s="9" t="s">
        <v>9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1">
        <v>0</v>
      </c>
      <c r="BW27" s="3"/>
      <c r="BX27" s="3"/>
      <c r="BY27" s="9" t="s">
        <v>9</v>
      </c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1">
        <v>0</v>
      </c>
    </row>
    <row r="28" spans="4:110" ht="25.8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1"/>
      <c r="AL28" s="2"/>
      <c r="AM28" s="2"/>
      <c r="AN28" s="2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1"/>
      <c r="BW28" s="3"/>
      <c r="BX28" s="3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1"/>
    </row>
    <row r="29" spans="4:110" ht="25.8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3"/>
      <c r="BX29" s="3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spans="4:110" ht="25.8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3"/>
      <c r="BX30" s="3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spans="4:110" ht="25.8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3"/>
      <c r="BX31" s="3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spans="4:110" ht="25.8">
      <c r="D32" s="199" t="s">
        <v>13</v>
      </c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99" t="s">
        <v>14</v>
      </c>
      <c r="AG32" s="199"/>
      <c r="AH32" s="199"/>
      <c r="AI32" s="199"/>
      <c r="AJ32" s="2"/>
      <c r="AK32" s="2"/>
      <c r="AL32" s="2"/>
      <c r="AM32" s="2"/>
      <c r="AN32" s="2"/>
      <c r="AO32" s="199" t="s">
        <v>13</v>
      </c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199" t="s">
        <v>14</v>
      </c>
      <c r="BR32" s="199"/>
      <c r="BS32" s="199"/>
      <c r="BT32" s="199"/>
      <c r="BU32" s="2"/>
      <c r="BV32" s="2"/>
      <c r="BW32" s="3"/>
      <c r="BX32" s="3"/>
      <c r="BY32" s="199" t="s">
        <v>13</v>
      </c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199" t="s">
        <v>14</v>
      </c>
      <c r="DB32" s="199"/>
      <c r="DC32" s="199"/>
      <c r="DD32" s="199"/>
      <c r="DE32" s="2"/>
      <c r="DF32" s="2"/>
    </row>
    <row r="33" spans="4:110" ht="25.8">
      <c r="D33" s="6" t="s">
        <v>5</v>
      </c>
      <c r="E33" s="7">
        <v>1</v>
      </c>
      <c r="F33" s="7">
        <v>2</v>
      </c>
      <c r="G33" s="7">
        <v>3</v>
      </c>
      <c r="H33" s="7">
        <v>4</v>
      </c>
      <c r="I33" s="7">
        <v>5</v>
      </c>
      <c r="J33" s="7">
        <v>6</v>
      </c>
      <c r="K33" s="7">
        <v>7</v>
      </c>
      <c r="L33" s="7">
        <v>8</v>
      </c>
      <c r="M33" s="7">
        <v>9</v>
      </c>
      <c r="N33" s="7">
        <v>10</v>
      </c>
      <c r="O33" s="7">
        <v>11</v>
      </c>
      <c r="P33" s="7">
        <v>12</v>
      </c>
      <c r="Q33" s="7">
        <v>13</v>
      </c>
      <c r="R33" s="7">
        <v>14</v>
      </c>
      <c r="S33" s="7">
        <v>15</v>
      </c>
      <c r="T33" s="7">
        <v>16</v>
      </c>
      <c r="U33" s="7">
        <v>17</v>
      </c>
      <c r="V33" s="7">
        <v>18</v>
      </c>
      <c r="W33" s="7">
        <v>19</v>
      </c>
      <c r="X33" s="7">
        <v>20</v>
      </c>
      <c r="Y33" s="7">
        <v>21</v>
      </c>
      <c r="Z33" s="7">
        <v>22</v>
      </c>
      <c r="AA33" s="7">
        <v>23</v>
      </c>
      <c r="AB33" s="7">
        <v>24</v>
      </c>
      <c r="AC33" s="7">
        <v>25</v>
      </c>
      <c r="AD33" s="7">
        <v>26</v>
      </c>
      <c r="AE33" s="7">
        <v>27</v>
      </c>
      <c r="AF33" s="7">
        <v>28</v>
      </c>
      <c r="AG33" s="7">
        <v>29</v>
      </c>
      <c r="AH33" s="7">
        <v>30</v>
      </c>
      <c r="AI33" s="7">
        <v>31</v>
      </c>
      <c r="AJ33" s="7">
        <v>32</v>
      </c>
      <c r="AK33" s="8" t="s">
        <v>6</v>
      </c>
      <c r="AL33" s="2"/>
      <c r="AM33" s="2"/>
      <c r="AN33" s="2"/>
      <c r="AO33" s="6" t="s">
        <v>5</v>
      </c>
      <c r="AP33" s="7">
        <v>1</v>
      </c>
      <c r="AQ33" s="7">
        <v>2</v>
      </c>
      <c r="AR33" s="7">
        <v>3</v>
      </c>
      <c r="AS33" s="7">
        <v>4</v>
      </c>
      <c r="AT33" s="7">
        <v>5</v>
      </c>
      <c r="AU33" s="7">
        <v>6</v>
      </c>
      <c r="AV33" s="7">
        <v>7</v>
      </c>
      <c r="AW33" s="7">
        <v>8</v>
      </c>
      <c r="AX33" s="7">
        <v>9</v>
      </c>
      <c r="AY33" s="7">
        <v>10</v>
      </c>
      <c r="AZ33" s="7">
        <v>11</v>
      </c>
      <c r="BA33" s="7">
        <v>12</v>
      </c>
      <c r="BB33" s="7">
        <v>13</v>
      </c>
      <c r="BC33" s="7">
        <v>14</v>
      </c>
      <c r="BD33" s="7">
        <v>15</v>
      </c>
      <c r="BE33" s="7">
        <v>16</v>
      </c>
      <c r="BF33" s="7">
        <v>17</v>
      </c>
      <c r="BG33" s="7">
        <v>18</v>
      </c>
      <c r="BH33" s="7">
        <v>19</v>
      </c>
      <c r="BI33" s="7">
        <v>20</v>
      </c>
      <c r="BJ33" s="7">
        <v>21</v>
      </c>
      <c r="BK33" s="7">
        <v>22</v>
      </c>
      <c r="BL33" s="7">
        <v>23</v>
      </c>
      <c r="BM33" s="7">
        <v>24</v>
      </c>
      <c r="BN33" s="7">
        <v>25</v>
      </c>
      <c r="BO33" s="7">
        <v>26</v>
      </c>
      <c r="BP33" s="7">
        <v>27</v>
      </c>
      <c r="BQ33" s="7">
        <v>28</v>
      </c>
      <c r="BR33" s="7">
        <v>29</v>
      </c>
      <c r="BS33" s="7">
        <v>30</v>
      </c>
      <c r="BT33" s="7">
        <v>31</v>
      </c>
      <c r="BU33" s="7">
        <v>32</v>
      </c>
      <c r="BV33" s="8" t="s">
        <v>6</v>
      </c>
      <c r="BW33" s="3"/>
      <c r="BX33" s="3"/>
      <c r="BY33" s="6" t="s">
        <v>5</v>
      </c>
      <c r="BZ33" s="7">
        <v>1</v>
      </c>
      <c r="CA33" s="7">
        <v>2</v>
      </c>
      <c r="CB33" s="7">
        <v>3</v>
      </c>
      <c r="CC33" s="7">
        <v>4</v>
      </c>
      <c r="CD33" s="7">
        <v>5</v>
      </c>
      <c r="CE33" s="7">
        <v>6</v>
      </c>
      <c r="CF33" s="7">
        <v>7</v>
      </c>
      <c r="CG33" s="7">
        <v>8</v>
      </c>
      <c r="CH33" s="7">
        <v>9</v>
      </c>
      <c r="CI33" s="7">
        <v>10</v>
      </c>
      <c r="CJ33" s="7">
        <v>11</v>
      </c>
      <c r="CK33" s="7">
        <v>12</v>
      </c>
      <c r="CL33" s="7">
        <v>13</v>
      </c>
      <c r="CM33" s="7">
        <v>14</v>
      </c>
      <c r="CN33" s="7">
        <v>15</v>
      </c>
      <c r="CO33" s="7">
        <v>16</v>
      </c>
      <c r="CP33" s="7">
        <v>17</v>
      </c>
      <c r="CQ33" s="7">
        <v>18</v>
      </c>
      <c r="CR33" s="7">
        <v>19</v>
      </c>
      <c r="CS33" s="7">
        <v>20</v>
      </c>
      <c r="CT33" s="7">
        <v>21</v>
      </c>
      <c r="CU33" s="7">
        <v>22</v>
      </c>
      <c r="CV33" s="7">
        <v>23</v>
      </c>
      <c r="CW33" s="7">
        <v>24</v>
      </c>
      <c r="CX33" s="7">
        <v>25</v>
      </c>
      <c r="CY33" s="7">
        <v>26</v>
      </c>
      <c r="CZ33" s="7">
        <v>27</v>
      </c>
      <c r="DA33" s="7">
        <v>28</v>
      </c>
      <c r="DB33" s="7">
        <v>29</v>
      </c>
      <c r="DC33" s="7">
        <v>30</v>
      </c>
      <c r="DD33" s="7">
        <v>31</v>
      </c>
      <c r="DE33" s="7">
        <v>32</v>
      </c>
      <c r="DF33" s="8" t="s">
        <v>6</v>
      </c>
    </row>
    <row r="34" spans="4:110" ht="25.8">
      <c r="D34" s="9" t="s">
        <v>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1">
        <v>0</v>
      </c>
      <c r="AL34" s="2"/>
      <c r="AM34" s="2"/>
      <c r="AN34" s="2"/>
      <c r="AO34" s="9" t="s">
        <v>7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1">
        <v>0</v>
      </c>
      <c r="BW34" s="3"/>
      <c r="BX34" s="3"/>
      <c r="BY34" s="9" t="s">
        <v>7</v>
      </c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1">
        <v>0</v>
      </c>
    </row>
    <row r="35" spans="4:110" ht="25.8">
      <c r="D35" s="9" t="s">
        <v>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1">
        <v>0</v>
      </c>
      <c r="AL35" s="2"/>
      <c r="AM35" s="2"/>
      <c r="AN35" s="2"/>
      <c r="AO35" s="9" t="s">
        <v>8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1">
        <v>0</v>
      </c>
      <c r="BW35" s="3"/>
      <c r="BX35" s="3"/>
      <c r="BY35" s="9" t="s">
        <v>8</v>
      </c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1">
        <v>0</v>
      </c>
    </row>
    <row r="36" spans="4:110" ht="25.8">
      <c r="D36" s="9" t="s">
        <v>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1">
        <v>0</v>
      </c>
      <c r="AL36" s="2"/>
      <c r="AM36" s="2"/>
      <c r="AN36" s="2"/>
      <c r="AO36" s="9" t="s">
        <v>9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1">
        <v>0</v>
      </c>
      <c r="BW36" s="3"/>
      <c r="BX36" s="3"/>
      <c r="BY36" s="9" t="s">
        <v>9</v>
      </c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1">
        <v>0</v>
      </c>
    </row>
    <row r="37" spans="4:110" ht="25.8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1">
        <v>0</v>
      </c>
      <c r="AL37" s="2"/>
      <c r="AM37" s="2"/>
      <c r="AN37" s="2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1">
        <v>0</v>
      </c>
      <c r="BW37" s="3"/>
      <c r="BX37" s="3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1">
        <v>0</v>
      </c>
    </row>
    <row r="38" spans="4:110" ht="25.8">
      <c r="D38" s="12" t="s">
        <v>10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1">
        <v>0</v>
      </c>
      <c r="AL38" s="2"/>
      <c r="AM38" s="2"/>
      <c r="AN38" s="2"/>
      <c r="AO38" s="12" t="s">
        <v>10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1">
        <v>0</v>
      </c>
      <c r="BW38" s="3"/>
      <c r="BX38" s="3"/>
      <c r="BY38" s="12" t="s">
        <v>10</v>
      </c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1">
        <v>0</v>
      </c>
    </row>
    <row r="39" spans="4:110" ht="25.8">
      <c r="D39" s="9" t="s">
        <v>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1">
        <v>0</v>
      </c>
      <c r="AL39" s="2"/>
      <c r="AM39" s="2"/>
      <c r="AN39" s="2"/>
      <c r="AO39" s="9" t="s">
        <v>7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1">
        <v>0</v>
      </c>
      <c r="BW39" s="3"/>
      <c r="BX39" s="3"/>
      <c r="BY39" s="9" t="s">
        <v>7</v>
      </c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1">
        <v>0</v>
      </c>
    </row>
    <row r="40" spans="4:110" ht="25.8">
      <c r="D40" s="9" t="s">
        <v>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1">
        <v>0</v>
      </c>
      <c r="AL40" s="2"/>
      <c r="AM40" s="2"/>
      <c r="AN40" s="2"/>
      <c r="AO40" s="9" t="s">
        <v>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1">
        <v>0</v>
      </c>
      <c r="BW40" s="3"/>
      <c r="BX40" s="3"/>
      <c r="BY40" s="9" t="s">
        <v>8</v>
      </c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1">
        <v>0</v>
      </c>
    </row>
    <row r="41" spans="4:110" ht="25.8">
      <c r="D41" s="9" t="s">
        <v>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1"/>
      <c r="AL41" s="2"/>
      <c r="AM41" s="2"/>
      <c r="AN41" s="2"/>
      <c r="AO41" s="9" t="s">
        <v>9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1"/>
      <c r="BW41" s="3"/>
      <c r="BX41" s="3"/>
      <c r="BY41" s="9" t="s">
        <v>9</v>
      </c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1"/>
    </row>
    <row r="42" spans="4:110" ht="25.8"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1"/>
      <c r="AL42" s="2"/>
      <c r="AM42" s="2"/>
      <c r="AN42" s="2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1"/>
      <c r="BW42" s="3"/>
      <c r="BX42" s="3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1"/>
    </row>
    <row r="43" spans="4:110" ht="25.8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3"/>
      <c r="BX43" s="3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spans="4:110" ht="25.8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3"/>
      <c r="BX44" s="3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spans="4:110" ht="25.8">
      <c r="D45" s="199" t="s">
        <v>15</v>
      </c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99" t="s">
        <v>16</v>
      </c>
      <c r="AG45" s="199"/>
      <c r="AH45" s="199"/>
      <c r="AI45" s="199"/>
      <c r="AJ45" s="2"/>
      <c r="AK45" s="2"/>
      <c r="AL45" s="2"/>
      <c r="AM45" s="2"/>
      <c r="AN45" s="2"/>
      <c r="AO45" s="199" t="s">
        <v>15</v>
      </c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199" t="s">
        <v>16</v>
      </c>
      <c r="BR45" s="199"/>
      <c r="BS45" s="199"/>
      <c r="BT45" s="199"/>
      <c r="BU45" s="2"/>
      <c r="BV45" s="2"/>
      <c r="BW45" s="3"/>
      <c r="BX45" s="3"/>
      <c r="BY45" s="199" t="s">
        <v>15</v>
      </c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199"/>
      <c r="CM45" s="19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199" t="s">
        <v>16</v>
      </c>
      <c r="DB45" s="199"/>
      <c r="DC45" s="199"/>
      <c r="DD45" s="199"/>
      <c r="DE45" s="2"/>
      <c r="DF45" s="2"/>
    </row>
    <row r="46" spans="4:110" ht="25.8">
      <c r="D46" s="6" t="s">
        <v>5</v>
      </c>
      <c r="E46" s="7">
        <v>1</v>
      </c>
      <c r="F46" s="7">
        <v>2</v>
      </c>
      <c r="G46" s="7">
        <v>3</v>
      </c>
      <c r="H46" s="7">
        <v>4</v>
      </c>
      <c r="I46" s="7">
        <v>5</v>
      </c>
      <c r="J46" s="7">
        <v>6</v>
      </c>
      <c r="K46" s="7">
        <v>7</v>
      </c>
      <c r="L46" s="7">
        <v>8</v>
      </c>
      <c r="M46" s="7">
        <v>9</v>
      </c>
      <c r="N46" s="7">
        <v>10</v>
      </c>
      <c r="O46" s="7">
        <v>11</v>
      </c>
      <c r="P46" s="7">
        <v>12</v>
      </c>
      <c r="Q46" s="7">
        <v>13</v>
      </c>
      <c r="R46" s="7">
        <v>14</v>
      </c>
      <c r="S46" s="7">
        <v>15</v>
      </c>
      <c r="T46" s="7">
        <v>16</v>
      </c>
      <c r="U46" s="7">
        <v>17</v>
      </c>
      <c r="V46" s="7">
        <v>18</v>
      </c>
      <c r="W46" s="7">
        <v>19</v>
      </c>
      <c r="X46" s="7">
        <v>20</v>
      </c>
      <c r="Y46" s="7">
        <v>21</v>
      </c>
      <c r="Z46" s="7">
        <v>22</v>
      </c>
      <c r="AA46" s="7">
        <v>23</v>
      </c>
      <c r="AB46" s="7">
        <v>24</v>
      </c>
      <c r="AC46" s="7">
        <v>25</v>
      </c>
      <c r="AD46" s="7">
        <v>26</v>
      </c>
      <c r="AE46" s="7">
        <v>27</v>
      </c>
      <c r="AF46" s="7">
        <v>28</v>
      </c>
      <c r="AG46" s="7">
        <v>29</v>
      </c>
      <c r="AH46" s="7">
        <v>30</v>
      </c>
      <c r="AI46" s="7">
        <v>31</v>
      </c>
      <c r="AJ46" s="7">
        <v>32</v>
      </c>
      <c r="AK46" s="8" t="s">
        <v>6</v>
      </c>
      <c r="AL46" s="2"/>
      <c r="AM46" s="2"/>
      <c r="AN46" s="2"/>
      <c r="AO46" s="6" t="s">
        <v>5</v>
      </c>
      <c r="AP46" s="7">
        <v>1</v>
      </c>
      <c r="AQ46" s="7">
        <v>2</v>
      </c>
      <c r="AR46" s="7">
        <v>3</v>
      </c>
      <c r="AS46" s="7">
        <v>4</v>
      </c>
      <c r="AT46" s="7">
        <v>5</v>
      </c>
      <c r="AU46" s="7">
        <v>6</v>
      </c>
      <c r="AV46" s="7">
        <v>7</v>
      </c>
      <c r="AW46" s="7">
        <v>8</v>
      </c>
      <c r="AX46" s="7">
        <v>9</v>
      </c>
      <c r="AY46" s="7">
        <v>10</v>
      </c>
      <c r="AZ46" s="7">
        <v>11</v>
      </c>
      <c r="BA46" s="7">
        <v>12</v>
      </c>
      <c r="BB46" s="7">
        <v>13</v>
      </c>
      <c r="BC46" s="7">
        <v>14</v>
      </c>
      <c r="BD46" s="7">
        <v>15</v>
      </c>
      <c r="BE46" s="7">
        <v>16</v>
      </c>
      <c r="BF46" s="7">
        <v>17</v>
      </c>
      <c r="BG46" s="7">
        <v>18</v>
      </c>
      <c r="BH46" s="7">
        <v>19</v>
      </c>
      <c r="BI46" s="7">
        <v>20</v>
      </c>
      <c r="BJ46" s="7">
        <v>21</v>
      </c>
      <c r="BK46" s="7">
        <v>22</v>
      </c>
      <c r="BL46" s="7">
        <v>23</v>
      </c>
      <c r="BM46" s="7">
        <v>24</v>
      </c>
      <c r="BN46" s="7">
        <v>25</v>
      </c>
      <c r="BO46" s="7">
        <v>26</v>
      </c>
      <c r="BP46" s="7">
        <v>27</v>
      </c>
      <c r="BQ46" s="7">
        <v>28</v>
      </c>
      <c r="BR46" s="7">
        <v>29</v>
      </c>
      <c r="BS46" s="7">
        <v>30</v>
      </c>
      <c r="BT46" s="7">
        <v>31</v>
      </c>
      <c r="BU46" s="7">
        <v>32</v>
      </c>
      <c r="BV46" s="8" t="s">
        <v>6</v>
      </c>
      <c r="BW46" s="3"/>
      <c r="BX46" s="3"/>
      <c r="BY46" s="6" t="s">
        <v>5</v>
      </c>
      <c r="BZ46" s="7">
        <v>1</v>
      </c>
      <c r="CA46" s="7">
        <v>2</v>
      </c>
      <c r="CB46" s="7">
        <v>3</v>
      </c>
      <c r="CC46" s="7">
        <v>4</v>
      </c>
      <c r="CD46" s="7">
        <v>5</v>
      </c>
      <c r="CE46" s="7">
        <v>6</v>
      </c>
      <c r="CF46" s="7">
        <v>7</v>
      </c>
      <c r="CG46" s="7">
        <v>8</v>
      </c>
      <c r="CH46" s="7">
        <v>9</v>
      </c>
      <c r="CI46" s="7">
        <v>10</v>
      </c>
      <c r="CJ46" s="7">
        <v>11</v>
      </c>
      <c r="CK46" s="7">
        <v>12</v>
      </c>
      <c r="CL46" s="7">
        <v>13</v>
      </c>
      <c r="CM46" s="7">
        <v>14</v>
      </c>
      <c r="CN46" s="7">
        <v>15</v>
      </c>
      <c r="CO46" s="7">
        <v>16</v>
      </c>
      <c r="CP46" s="7">
        <v>17</v>
      </c>
      <c r="CQ46" s="7">
        <v>18</v>
      </c>
      <c r="CR46" s="7">
        <v>19</v>
      </c>
      <c r="CS46" s="7">
        <v>20</v>
      </c>
      <c r="CT46" s="7">
        <v>21</v>
      </c>
      <c r="CU46" s="7">
        <v>22</v>
      </c>
      <c r="CV46" s="7">
        <v>23</v>
      </c>
      <c r="CW46" s="7">
        <v>24</v>
      </c>
      <c r="CX46" s="7">
        <v>25</v>
      </c>
      <c r="CY46" s="7">
        <v>26</v>
      </c>
      <c r="CZ46" s="7">
        <v>27</v>
      </c>
      <c r="DA46" s="7">
        <v>28</v>
      </c>
      <c r="DB46" s="7">
        <v>29</v>
      </c>
      <c r="DC46" s="7">
        <v>30</v>
      </c>
      <c r="DD46" s="7">
        <v>31</v>
      </c>
      <c r="DE46" s="7">
        <v>32</v>
      </c>
      <c r="DF46" s="8" t="s">
        <v>6</v>
      </c>
    </row>
    <row r="47" spans="4:110" ht="25.8">
      <c r="D47" s="9" t="s">
        <v>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1">
        <v>0</v>
      </c>
      <c r="AL47" s="2"/>
      <c r="AM47" s="2"/>
      <c r="AN47" s="2"/>
      <c r="AO47" s="9" t="s">
        <v>7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1">
        <v>0</v>
      </c>
      <c r="BW47" s="3"/>
      <c r="BX47" s="3"/>
      <c r="BY47" s="9" t="s">
        <v>7</v>
      </c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1">
        <v>0</v>
      </c>
    </row>
    <row r="48" spans="4:110" ht="25.8">
      <c r="D48" s="9" t="s">
        <v>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1">
        <v>0</v>
      </c>
      <c r="AL48" s="2"/>
      <c r="AM48" s="2"/>
      <c r="AN48" s="2"/>
      <c r="AO48" s="9" t="s">
        <v>8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1">
        <v>0</v>
      </c>
      <c r="BW48" s="3"/>
      <c r="BX48" s="3"/>
      <c r="BY48" s="9" t="s">
        <v>8</v>
      </c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1">
        <v>0</v>
      </c>
    </row>
    <row r="49" spans="4:110" ht="25.8">
      <c r="D49" s="9" t="s">
        <v>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1">
        <v>0</v>
      </c>
      <c r="AL49" s="2"/>
      <c r="AM49" s="2"/>
      <c r="AN49" s="2"/>
      <c r="AO49" s="9" t="s">
        <v>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1">
        <v>0</v>
      </c>
      <c r="BW49" s="3"/>
      <c r="BX49" s="3"/>
      <c r="BY49" s="9" t="s">
        <v>9</v>
      </c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1">
        <v>0</v>
      </c>
    </row>
    <row r="50" spans="4:110" ht="25.8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1">
        <v>0</v>
      </c>
      <c r="AL50" s="3"/>
      <c r="AM50" s="3"/>
      <c r="AN50" s="3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1">
        <v>0</v>
      </c>
      <c r="BW50" s="3"/>
      <c r="BX50" s="3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1">
        <v>0</v>
      </c>
    </row>
    <row r="51" spans="4:110" ht="25.8">
      <c r="D51" s="12" t="s">
        <v>10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1">
        <v>0</v>
      </c>
      <c r="AL51" s="3"/>
      <c r="AM51" s="3"/>
      <c r="AN51" s="3"/>
      <c r="AO51" s="12" t="s">
        <v>10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1">
        <v>0</v>
      </c>
      <c r="BW51" s="3"/>
      <c r="BX51" s="3"/>
      <c r="BY51" s="12" t="s">
        <v>10</v>
      </c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1">
        <v>0</v>
      </c>
    </row>
    <row r="52" spans="4:110" ht="25.8">
      <c r="D52" s="9" t="s">
        <v>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1">
        <v>0</v>
      </c>
      <c r="AL52" s="3"/>
      <c r="AM52" s="3"/>
      <c r="AN52" s="3"/>
      <c r="AO52" s="9" t="s">
        <v>7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1">
        <v>0</v>
      </c>
      <c r="BW52" s="3"/>
      <c r="BX52" s="3"/>
      <c r="BY52" s="9" t="s">
        <v>7</v>
      </c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1">
        <v>0</v>
      </c>
    </row>
    <row r="53" spans="4:110" ht="25.8">
      <c r="D53" s="9" t="s">
        <v>8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1">
        <v>0</v>
      </c>
      <c r="AL53" s="3"/>
      <c r="AM53" s="3"/>
      <c r="AN53" s="3"/>
      <c r="AO53" s="9" t="s">
        <v>8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1">
        <v>0</v>
      </c>
      <c r="BW53" s="3"/>
      <c r="BX53" s="3"/>
      <c r="BY53" s="9" t="s">
        <v>8</v>
      </c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1">
        <v>0</v>
      </c>
    </row>
    <row r="54" spans="4:110" ht="25.8">
      <c r="D54" s="9" t="s">
        <v>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1">
        <v>0</v>
      </c>
      <c r="AL54" s="3"/>
      <c r="AM54" s="3"/>
      <c r="AN54" s="3"/>
      <c r="AO54" s="9" t="s">
        <v>9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1">
        <v>0</v>
      </c>
      <c r="BW54" s="3"/>
      <c r="BX54" s="3"/>
      <c r="BY54" s="9" t="s">
        <v>9</v>
      </c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1">
        <v>0</v>
      </c>
    </row>
    <row r="55" spans="4:110" ht="25.8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1"/>
      <c r="AL55" s="3"/>
      <c r="AM55" s="3"/>
      <c r="AN55" s="3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1"/>
      <c r="BW55" s="3"/>
      <c r="BX55" s="3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1"/>
    </row>
  </sheetData>
  <mergeCells count="30">
    <mergeCell ref="BQ45:BT45"/>
    <mergeCell ref="DA45:DD45"/>
    <mergeCell ref="D45:R45"/>
    <mergeCell ref="AO45:BC45"/>
    <mergeCell ref="BY45:CM45"/>
    <mergeCell ref="AG18:AJ18"/>
    <mergeCell ref="AF32:AI32"/>
    <mergeCell ref="AF45:AI45"/>
    <mergeCell ref="E3:AH3"/>
    <mergeCell ref="D4:L4"/>
    <mergeCell ref="D5:L5"/>
    <mergeCell ref="D18:Q18"/>
    <mergeCell ref="D32:R32"/>
    <mergeCell ref="AD5:AG5"/>
    <mergeCell ref="BZ3:DC3"/>
    <mergeCell ref="BY4:CG4"/>
    <mergeCell ref="BY5:CG5"/>
    <mergeCell ref="BY18:CL18"/>
    <mergeCell ref="BY32:CM32"/>
    <mergeCell ref="DB18:DE18"/>
    <mergeCell ref="CY5:DB5"/>
    <mergeCell ref="DA32:DD32"/>
    <mergeCell ref="AP3:BS3"/>
    <mergeCell ref="AO4:AW4"/>
    <mergeCell ref="AO5:AW5"/>
    <mergeCell ref="AO18:BB18"/>
    <mergeCell ref="AO32:BC32"/>
    <mergeCell ref="BR18:BU18"/>
    <mergeCell ref="BO5:BR5"/>
    <mergeCell ref="BQ32:BT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9"/>
  <sheetViews>
    <sheetView topLeftCell="A19" zoomScaleNormal="100" workbookViewId="0">
      <selection activeCell="A22" sqref="A22"/>
    </sheetView>
  </sheetViews>
  <sheetFormatPr defaultRowHeight="14.4"/>
  <cols>
    <col min="1" max="1" width="14.88671875" customWidth="1"/>
    <col min="2" max="2" width="31.44140625" bestFit="1" customWidth="1"/>
    <col min="3" max="3" width="10.6640625" bestFit="1" customWidth="1"/>
    <col min="4" max="4" width="13.88671875" bestFit="1" customWidth="1"/>
    <col min="6" max="6" width="15.6640625" customWidth="1"/>
    <col min="8" max="8" width="0.44140625" customWidth="1"/>
  </cols>
  <sheetData>
    <row r="3" spans="1:9" ht="31.2">
      <c r="B3" s="14" t="s">
        <v>17</v>
      </c>
    </row>
    <row r="5" spans="1:9" ht="18">
      <c r="E5" s="202" t="s">
        <v>12</v>
      </c>
      <c r="F5" s="202"/>
      <c r="G5" s="202"/>
      <c r="H5" s="202"/>
    </row>
    <row r="7" spans="1:9">
      <c r="A7" s="15" t="s">
        <v>18</v>
      </c>
      <c r="B7" s="16" t="s">
        <v>19</v>
      </c>
      <c r="C7" s="17" t="s">
        <v>20</v>
      </c>
      <c r="D7" s="17" t="s">
        <v>21</v>
      </c>
      <c r="E7" s="18"/>
      <c r="F7" s="19"/>
      <c r="G7" s="15" t="s">
        <v>22</v>
      </c>
      <c r="H7" s="20"/>
      <c r="I7" s="20"/>
    </row>
    <row r="8" spans="1:9">
      <c r="A8" s="21" t="s">
        <v>23</v>
      </c>
      <c r="B8" s="22" t="s">
        <v>24</v>
      </c>
      <c r="C8" s="23"/>
      <c r="D8" s="23"/>
      <c r="E8" s="24"/>
      <c r="F8" s="25"/>
      <c r="G8" s="26" t="s">
        <v>25</v>
      </c>
      <c r="H8" s="20"/>
      <c r="I8" s="20"/>
    </row>
    <row r="9" spans="1:9">
      <c r="A9" s="27" t="s">
        <v>26</v>
      </c>
      <c r="B9" s="28" t="s">
        <v>27</v>
      </c>
      <c r="C9" s="24"/>
      <c r="D9" s="23"/>
      <c r="E9" s="24"/>
      <c r="F9" s="25"/>
      <c r="G9" s="26" t="s">
        <v>25</v>
      </c>
      <c r="H9" s="20"/>
      <c r="I9" s="20"/>
    </row>
    <row r="10" spans="1:9">
      <c r="A10" s="27" t="s">
        <v>28</v>
      </c>
      <c r="B10" s="22" t="s">
        <v>29</v>
      </c>
      <c r="C10" s="24"/>
      <c r="D10" s="24"/>
      <c r="E10" s="24"/>
      <c r="F10" s="25"/>
      <c r="G10" s="26" t="s">
        <v>25</v>
      </c>
      <c r="H10" s="20"/>
      <c r="I10" s="20"/>
    </row>
    <row r="11" spans="1:9">
      <c r="A11" s="27" t="s">
        <v>30</v>
      </c>
      <c r="B11" s="29" t="s">
        <v>31</v>
      </c>
      <c r="C11" s="24"/>
      <c r="D11" s="24"/>
      <c r="E11" s="24"/>
      <c r="F11" s="25"/>
      <c r="G11" s="30" t="s">
        <v>32</v>
      </c>
      <c r="H11" s="20"/>
      <c r="I11" s="20"/>
    </row>
    <row r="12" spans="1:9">
      <c r="A12" s="27" t="s">
        <v>33</v>
      </c>
      <c r="B12" s="31" t="s">
        <v>34</v>
      </c>
      <c r="C12" s="24"/>
      <c r="D12" s="24"/>
      <c r="E12" s="24"/>
      <c r="F12" s="25"/>
      <c r="G12" s="26" t="s">
        <v>25</v>
      </c>
      <c r="H12" s="20"/>
      <c r="I12" s="20"/>
    </row>
    <row r="13" spans="1:9">
      <c r="A13" s="32" t="s">
        <v>35</v>
      </c>
      <c r="B13" s="33" t="s">
        <v>36</v>
      </c>
      <c r="C13" s="34"/>
      <c r="D13" s="24"/>
      <c r="E13" s="24"/>
      <c r="F13" s="25"/>
      <c r="G13" s="26" t="s">
        <v>25</v>
      </c>
      <c r="H13" s="20"/>
      <c r="I13" s="20"/>
    </row>
    <row r="14" spans="1:9">
      <c r="A14" s="32" t="s">
        <v>37</v>
      </c>
      <c r="B14" s="35" t="s">
        <v>38</v>
      </c>
      <c r="C14" s="34"/>
      <c r="D14" s="24"/>
      <c r="E14" s="24"/>
      <c r="F14" s="25"/>
      <c r="G14" s="26" t="s">
        <v>25</v>
      </c>
      <c r="H14" s="20"/>
      <c r="I14" s="20"/>
    </row>
    <row r="15" spans="1:9">
      <c r="A15" s="32" t="s">
        <v>39</v>
      </c>
      <c r="B15" s="35" t="s">
        <v>40</v>
      </c>
      <c r="C15" s="34"/>
      <c r="D15" s="24"/>
      <c r="E15" s="24"/>
      <c r="F15" s="25"/>
      <c r="G15" s="26" t="s">
        <v>25</v>
      </c>
      <c r="H15" s="20"/>
      <c r="I15" s="20"/>
    </row>
    <row r="16" spans="1:9">
      <c r="A16" s="36" t="s">
        <v>41</v>
      </c>
      <c r="B16" s="37" t="s">
        <v>42</v>
      </c>
      <c r="C16" s="38"/>
      <c r="D16" s="39"/>
      <c r="E16" s="39"/>
      <c r="F16" s="40"/>
      <c r="G16" s="30" t="s">
        <v>32</v>
      </c>
      <c r="H16" s="20"/>
      <c r="I16" s="20"/>
    </row>
    <row r="17" spans="1:9">
      <c r="A17" s="27" t="s">
        <v>43</v>
      </c>
      <c r="B17" s="41" t="s">
        <v>44</v>
      </c>
      <c r="C17" s="24"/>
      <c r="D17" s="24"/>
      <c r="E17" s="24"/>
      <c r="F17" s="25"/>
      <c r="G17" s="26" t="s">
        <v>25</v>
      </c>
      <c r="H17" s="20"/>
      <c r="I17" s="20"/>
    </row>
    <row r="18" spans="1:9">
      <c r="A18" s="36" t="s">
        <v>45</v>
      </c>
      <c r="B18" s="37" t="s">
        <v>46</v>
      </c>
      <c r="C18" s="38"/>
      <c r="D18" s="39"/>
      <c r="E18" s="39"/>
      <c r="F18" s="40"/>
      <c r="G18" s="30" t="s">
        <v>32</v>
      </c>
      <c r="H18" s="20"/>
      <c r="I18" s="20"/>
    </row>
    <row r="19" spans="1:9">
      <c r="A19" s="32" t="s">
        <v>47</v>
      </c>
      <c r="B19" s="35" t="s">
        <v>48</v>
      </c>
      <c r="C19" s="42"/>
      <c r="D19" s="24"/>
      <c r="E19" s="24"/>
      <c r="F19" s="25"/>
      <c r="G19" s="26" t="s">
        <v>25</v>
      </c>
      <c r="H19" s="20"/>
      <c r="I19" s="20"/>
    </row>
    <row r="20" spans="1:9">
      <c r="A20" s="27" t="s">
        <v>49</v>
      </c>
      <c r="B20" s="41" t="s">
        <v>50</v>
      </c>
      <c r="C20" s="24"/>
      <c r="D20" s="24"/>
      <c r="E20" s="24"/>
      <c r="F20" s="25"/>
      <c r="G20" s="26" t="s">
        <v>25</v>
      </c>
      <c r="H20" s="20"/>
      <c r="I20" s="20"/>
    </row>
    <row r="21" spans="1:9">
      <c r="A21" s="32" t="s">
        <v>51</v>
      </c>
      <c r="B21" s="35" t="s">
        <v>52</v>
      </c>
      <c r="C21" s="34"/>
      <c r="D21" s="24"/>
      <c r="E21" s="24"/>
      <c r="F21" s="25"/>
      <c r="G21" s="26" t="s">
        <v>25</v>
      </c>
      <c r="H21" s="20"/>
      <c r="I21" s="20"/>
    </row>
    <row r="22" spans="1:9">
      <c r="A22" s="27" t="s">
        <v>53</v>
      </c>
      <c r="B22" s="43" t="s">
        <v>54</v>
      </c>
      <c r="C22" s="24"/>
      <c r="D22" s="24"/>
      <c r="E22" s="24"/>
      <c r="F22" s="25"/>
      <c r="G22" s="26" t="s">
        <v>25</v>
      </c>
      <c r="H22" s="20"/>
      <c r="I22" s="20"/>
    </row>
    <row r="23" spans="1:9">
      <c r="A23" s="27" t="s">
        <v>55</v>
      </c>
      <c r="B23" s="22" t="s">
        <v>56</v>
      </c>
      <c r="C23" s="24"/>
      <c r="D23" s="24"/>
      <c r="E23" s="24"/>
      <c r="F23" s="25"/>
      <c r="G23" s="26" t="s">
        <v>25</v>
      </c>
      <c r="H23" s="20"/>
      <c r="I23" s="20"/>
    </row>
    <row r="24" spans="1:9">
      <c r="A24" s="27" t="s">
        <v>57</v>
      </c>
      <c r="B24" s="28" t="s">
        <v>58</v>
      </c>
      <c r="C24" s="24"/>
      <c r="D24" s="24"/>
      <c r="E24" s="24"/>
      <c r="F24" s="25"/>
      <c r="G24" s="44"/>
      <c r="H24" s="20"/>
      <c r="I24" s="20"/>
    </row>
    <row r="25" spans="1:9">
      <c r="A25" s="27" t="s">
        <v>59</v>
      </c>
      <c r="B25" s="31" t="s">
        <v>60</v>
      </c>
      <c r="C25" s="24"/>
      <c r="D25" s="24"/>
      <c r="E25" s="24"/>
      <c r="F25" s="25"/>
      <c r="G25" s="44"/>
      <c r="H25" s="20"/>
      <c r="I25" s="20"/>
    </row>
    <row r="26" spans="1:9">
      <c r="A26" s="45" t="s">
        <v>61</v>
      </c>
      <c r="B26" s="46" t="s">
        <v>62</v>
      </c>
      <c r="C26" s="34"/>
      <c r="D26" s="24"/>
      <c r="E26" s="24"/>
      <c r="F26" s="25"/>
      <c r="G26" s="44"/>
      <c r="H26" s="20"/>
      <c r="I26" s="20"/>
    </row>
    <row r="27" spans="1:9">
      <c r="A27" s="45" t="s">
        <v>63</v>
      </c>
      <c r="B27" s="46" t="s">
        <v>64</v>
      </c>
      <c r="C27" s="34"/>
      <c r="D27" s="24"/>
      <c r="E27" s="24"/>
      <c r="F27" s="25"/>
      <c r="G27" s="44"/>
      <c r="H27" s="20"/>
      <c r="I27" s="20"/>
    </row>
    <row r="28" spans="1:9">
      <c r="A28" s="45" t="s">
        <v>65</v>
      </c>
      <c r="B28" s="46" t="s">
        <v>66</v>
      </c>
      <c r="C28" s="34"/>
      <c r="D28" s="24"/>
      <c r="E28" s="24"/>
      <c r="F28" s="25"/>
      <c r="G28" s="44"/>
      <c r="H28" s="20"/>
      <c r="I28" s="20"/>
    </row>
    <row r="29" spans="1:9">
      <c r="A29" s="45" t="s">
        <v>67</v>
      </c>
      <c r="B29" s="46" t="s">
        <v>68</v>
      </c>
      <c r="C29" s="34"/>
      <c r="D29" s="24"/>
      <c r="E29" s="24"/>
      <c r="F29" s="25"/>
      <c r="G29" s="44"/>
      <c r="H29" s="20"/>
      <c r="I29" s="20"/>
    </row>
    <row r="30" spans="1:9">
      <c r="A30" s="45" t="s">
        <v>69</v>
      </c>
      <c r="B30" s="46" t="s">
        <v>70</v>
      </c>
      <c r="C30" s="34"/>
      <c r="D30" s="24"/>
      <c r="E30" s="24"/>
      <c r="F30" s="25"/>
      <c r="G30" s="44"/>
      <c r="H30" s="20"/>
      <c r="I30" s="20"/>
    </row>
    <row r="31" spans="1:9">
      <c r="A31" s="45" t="s">
        <v>71</v>
      </c>
      <c r="B31" s="47" t="s">
        <v>72</v>
      </c>
      <c r="C31" s="34"/>
      <c r="D31" s="24"/>
      <c r="E31" s="24"/>
      <c r="F31" s="25"/>
      <c r="G31" s="30" t="s">
        <v>32</v>
      </c>
      <c r="H31" s="20"/>
      <c r="I31" s="20"/>
    </row>
    <row r="32" spans="1:9">
      <c r="A32" s="45" t="s">
        <v>73</v>
      </c>
      <c r="B32" s="46" t="s">
        <v>74</v>
      </c>
      <c r="C32" s="34"/>
      <c r="D32" s="24"/>
      <c r="E32" s="24"/>
      <c r="F32" s="25"/>
      <c r="G32" s="44"/>
      <c r="H32" s="20"/>
      <c r="I32" s="20"/>
    </row>
    <row r="33" spans="1:9">
      <c r="A33" s="45" t="s">
        <v>75</v>
      </c>
      <c r="B33" s="46" t="s">
        <v>76</v>
      </c>
      <c r="C33" s="34"/>
      <c r="D33" s="24"/>
      <c r="E33" s="24"/>
      <c r="F33" s="25"/>
      <c r="G33" s="44"/>
      <c r="H33" s="20"/>
      <c r="I33" s="20"/>
    </row>
    <row r="34" spans="1:9">
      <c r="A34" s="45" t="s">
        <v>77</v>
      </c>
      <c r="B34" s="46" t="s">
        <v>78</v>
      </c>
      <c r="C34" s="34"/>
      <c r="D34" s="24"/>
      <c r="E34" s="24"/>
      <c r="F34" s="25"/>
      <c r="G34" s="44"/>
      <c r="H34" s="20"/>
      <c r="I34" s="20"/>
    </row>
    <row r="35" spans="1:9">
      <c r="A35" s="45" t="s">
        <v>79</v>
      </c>
      <c r="B35" s="46" t="s">
        <v>80</v>
      </c>
      <c r="C35" s="34"/>
      <c r="D35" s="24"/>
      <c r="E35" s="24"/>
      <c r="F35" s="25"/>
      <c r="G35" s="44"/>
      <c r="H35" s="20"/>
      <c r="I35" s="20"/>
    </row>
    <row r="36" spans="1:9">
      <c r="A36" s="45" t="s">
        <v>81</v>
      </c>
      <c r="B36" s="46" t="s">
        <v>82</v>
      </c>
      <c r="C36" s="34"/>
      <c r="D36" s="24"/>
      <c r="E36" s="24"/>
      <c r="F36" s="25"/>
      <c r="G36" s="44"/>
      <c r="H36" s="20"/>
      <c r="I36" s="20"/>
    </row>
    <row r="37" spans="1:9">
      <c r="A37" s="45" t="s">
        <v>83</v>
      </c>
      <c r="B37" s="46" t="s">
        <v>84</v>
      </c>
      <c r="C37" s="34"/>
      <c r="D37" s="24"/>
      <c r="E37" s="24"/>
      <c r="F37" s="25"/>
      <c r="G37" s="30" t="s">
        <v>32</v>
      </c>
      <c r="H37" s="20"/>
      <c r="I37" s="20"/>
    </row>
    <row r="38" spans="1:9">
      <c r="A38" s="45" t="s">
        <v>85</v>
      </c>
      <c r="B38" s="46" t="s">
        <v>86</v>
      </c>
      <c r="C38" s="34"/>
      <c r="D38" s="24"/>
      <c r="E38" s="24"/>
      <c r="F38" s="25"/>
      <c r="G38" s="44"/>
      <c r="H38" s="20"/>
      <c r="I38" s="20"/>
    </row>
    <row r="39" spans="1:9">
      <c r="A39" s="45" t="s">
        <v>87</v>
      </c>
      <c r="B39" s="46" t="s">
        <v>88</v>
      </c>
      <c r="C39" s="34"/>
      <c r="D39" s="24"/>
      <c r="E39" s="24"/>
      <c r="F39" s="25"/>
      <c r="G39" s="44"/>
      <c r="H39" s="20"/>
      <c r="I39" s="20"/>
    </row>
    <row r="40" spans="1:9">
      <c r="A40" s="45" t="s">
        <v>89</v>
      </c>
      <c r="B40" s="46" t="s">
        <v>90</v>
      </c>
      <c r="C40" s="34"/>
      <c r="D40" s="24"/>
      <c r="E40" s="24"/>
      <c r="F40" s="25"/>
      <c r="G40" s="44"/>
      <c r="H40" s="20"/>
      <c r="I40" s="20"/>
    </row>
    <row r="41" spans="1:9">
      <c r="A41" s="45" t="s">
        <v>91</v>
      </c>
      <c r="B41" s="46" t="s">
        <v>92</v>
      </c>
      <c r="C41" s="34"/>
      <c r="D41" s="24"/>
      <c r="E41" s="24"/>
      <c r="F41" s="25"/>
      <c r="G41" s="44"/>
      <c r="H41" s="20"/>
      <c r="I41" s="20"/>
    </row>
    <row r="42" spans="1:9">
      <c r="A42" s="45" t="s">
        <v>93</v>
      </c>
      <c r="B42" s="46" t="s">
        <v>94</v>
      </c>
      <c r="C42" s="34"/>
      <c r="D42" s="24"/>
      <c r="E42" s="24"/>
      <c r="F42" s="25"/>
      <c r="G42" s="44"/>
      <c r="H42" s="20"/>
      <c r="I42" s="20"/>
    </row>
    <row r="43" spans="1:9">
      <c r="A43" s="48" t="s">
        <v>95</v>
      </c>
      <c r="B43" s="28" t="s">
        <v>96</v>
      </c>
      <c r="C43" s="24"/>
      <c r="D43" s="24"/>
      <c r="E43" s="24"/>
      <c r="F43" s="25"/>
      <c r="G43" s="44"/>
      <c r="H43" s="20"/>
      <c r="I43" s="20"/>
    </row>
    <row r="44" spans="1:9">
      <c r="A44" s="44" t="s">
        <v>97</v>
      </c>
      <c r="B44" s="34"/>
      <c r="C44" s="24"/>
      <c r="D44" s="24"/>
      <c r="E44" s="24"/>
      <c r="F44" s="25"/>
      <c r="G44" s="44"/>
      <c r="H44" s="20"/>
      <c r="I44" s="20"/>
    </row>
    <row r="45" spans="1:9">
      <c r="A45" s="44" t="s">
        <v>98</v>
      </c>
      <c r="B45" s="34"/>
      <c r="C45" s="24"/>
      <c r="D45" s="24"/>
      <c r="E45" s="24"/>
      <c r="F45" s="25"/>
      <c r="G45" s="44"/>
      <c r="H45" s="20"/>
      <c r="I45" s="20"/>
    </row>
    <row r="46" spans="1:9">
      <c r="A46" s="44" t="s">
        <v>99</v>
      </c>
      <c r="B46" s="34"/>
      <c r="C46" s="24"/>
      <c r="D46" s="24"/>
      <c r="E46" s="24"/>
      <c r="F46" s="25"/>
      <c r="G46" s="44"/>
      <c r="H46" s="20"/>
      <c r="I46" s="20"/>
    </row>
    <row r="47" spans="1:9">
      <c r="A47" s="44" t="s">
        <v>100</v>
      </c>
      <c r="B47" s="34"/>
      <c r="C47" s="24"/>
      <c r="D47" s="24"/>
      <c r="E47" s="24"/>
      <c r="F47" s="25"/>
      <c r="G47" s="44"/>
      <c r="H47" s="20"/>
      <c r="I47" s="20"/>
    </row>
    <row r="48" spans="1:9">
      <c r="A48" s="44" t="s">
        <v>101</v>
      </c>
      <c r="B48" s="34"/>
      <c r="C48" s="24"/>
      <c r="D48" s="24"/>
      <c r="E48" s="24"/>
      <c r="F48" s="25"/>
      <c r="G48" s="44"/>
      <c r="H48" s="20"/>
      <c r="I48" s="20"/>
    </row>
    <row r="49" spans="1:9">
      <c r="A49" s="44" t="s">
        <v>102</v>
      </c>
      <c r="B49" s="34"/>
      <c r="C49" s="24"/>
      <c r="D49" s="24"/>
      <c r="E49" s="24"/>
      <c r="F49" s="25"/>
      <c r="G49" s="44"/>
      <c r="H49" s="20"/>
      <c r="I49" s="20"/>
    </row>
  </sheetData>
  <mergeCells count="1">
    <mergeCell ref="E5:H5"/>
  </mergeCells>
  <hyperlinks>
    <hyperlink ref="A8" location="Sheet3!F5" display="Bas01"/>
    <hyperlink ref="A9" location="'Sheet 4'!F5" display="Bas02"/>
    <hyperlink ref="A10" location="'Sheet 5'!F5" display="Bas03"/>
    <hyperlink ref="A11" location="'Sheet 6'!G5" display="Bas04"/>
    <hyperlink ref="A12" location="'Sheet 7'!G5" display="Bas05"/>
    <hyperlink ref="A13" location="'Sheet 8'!G5" display="Bas06"/>
    <hyperlink ref="A14" location="'Sheet 9'!G5" display="Bas07"/>
    <hyperlink ref="A15" location="'Sheet 10'!G5" display="Bas08"/>
    <hyperlink ref="A16" location="'Sheet 11'!G5" display="Bas09"/>
    <hyperlink ref="A17" location="'Sheet 12'!G5" display="Bas10"/>
    <hyperlink ref="A18" location="'Sheet 13'!G5" display="Bas11"/>
    <hyperlink ref="A19" location="'Sheet 14'!G5" display="Bas12"/>
    <hyperlink ref="A20" location="'Sheet 15'!G5" display="Bas13"/>
    <hyperlink ref="A21" location="'Sheet 16'!G5" display="Bas14"/>
    <hyperlink ref="A22" location="'Sheet 17'!G5" display="Bas15"/>
    <hyperlink ref="A23" location="'Sheet 18'!G5" display="Bas16"/>
    <hyperlink ref="A24" location="'Sheet 19'!G5" display="Bas17"/>
    <hyperlink ref="A25" location="'Sheet 20'!G5" display="Bas18"/>
    <hyperlink ref="A26" location="'Sheet 21'!G5" display="Bas19"/>
    <hyperlink ref="A27" location="'Sheet 22'!G5" display="Bas20"/>
    <hyperlink ref="A28" location="'Sheet 23'!G5" display="Bas21"/>
    <hyperlink ref="A29" location="'Sheet 24'!G5" display="Bas22"/>
    <hyperlink ref="A30" location="'Sheet 25'!G5" display="Bas23"/>
    <hyperlink ref="A31" location="'Sheet 26'!G5" display="Bas24"/>
    <hyperlink ref="A32" location="'Sheet 27'!G6" display="Bas25"/>
    <hyperlink ref="A33" location="'Sheet 28'!G5" display="Bas26"/>
    <hyperlink ref="A34" location="'Sheet 29'!G5" display="Bas27"/>
    <hyperlink ref="A35" location="'Sheet 30'!G5" display="Bas28"/>
    <hyperlink ref="A36" location="'Sheet 31'!G5" display="Bas29"/>
    <hyperlink ref="A37" location="'Sheet 32'!G5" display="Bas30"/>
    <hyperlink ref="A38" location="'Sheet 33'!G5" display="Bas31"/>
    <hyperlink ref="A39" location="'Sheet 34'!G5" display="Bas32"/>
    <hyperlink ref="A40" location="'Sheet 35'!G5" display="Bas33"/>
    <hyperlink ref="A41" location="'Sheet 36'!G5" display="Bas34"/>
    <hyperlink ref="A42" location="'Sheet 37'!G5" display="Bas35"/>
    <hyperlink ref="A43" location="'Sheet 38'!G5" display="Bas36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53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13.5546875" customWidth="1"/>
    <col min="2" max="2" width="7.6640625" customWidth="1"/>
    <col min="3" max="3" width="9.109375" customWidth="1"/>
    <col min="4" max="4" width="9" customWidth="1"/>
    <col min="5" max="5" width="11.33203125" customWidth="1"/>
    <col min="6" max="6" width="16" customWidth="1"/>
    <col min="7" max="7" width="11" bestFit="1" customWidth="1"/>
    <col min="9" max="9" width="14.44140625" customWidth="1"/>
    <col min="10" max="10" width="21.6640625" customWidth="1"/>
    <col min="13" max="13" width="14.88671875" bestFit="1" customWidth="1"/>
    <col min="14" max="15" width="17" bestFit="1" customWidth="1"/>
  </cols>
  <sheetData>
    <row r="2" spans="1:17" ht="28.8">
      <c r="B2" s="203" t="s">
        <v>103</v>
      </c>
      <c r="C2" s="203"/>
      <c r="D2" s="203"/>
      <c r="E2" s="203"/>
      <c r="F2" s="203"/>
      <c r="G2" s="203"/>
      <c r="M2" s="49" t="s">
        <v>104</v>
      </c>
    </row>
    <row r="3" spans="1:17">
      <c r="A3" s="50" t="s">
        <v>105</v>
      </c>
      <c r="B3" s="51"/>
      <c r="C3" s="51"/>
      <c r="F3" s="52" t="s">
        <v>106</v>
      </c>
      <c r="G3" s="53" t="s">
        <v>107</v>
      </c>
      <c r="H3" s="54"/>
    </row>
    <row r="5" spans="1:17">
      <c r="A5" s="50" t="s">
        <v>108</v>
      </c>
      <c r="B5" s="51"/>
      <c r="C5" s="51"/>
      <c r="D5" s="51"/>
      <c r="E5" s="51"/>
      <c r="F5" s="21" t="s">
        <v>18</v>
      </c>
      <c r="G5" s="55" t="s">
        <v>23</v>
      </c>
      <c r="M5" s="56"/>
    </row>
    <row r="6" spans="1:17">
      <c r="Q6" s="20"/>
    </row>
    <row r="7" spans="1:17" ht="18">
      <c r="A7" s="57" t="s">
        <v>109</v>
      </c>
      <c r="B7" s="57" t="s">
        <v>7</v>
      </c>
      <c r="C7" s="57" t="s">
        <v>8</v>
      </c>
      <c r="D7" s="57" t="s">
        <v>110</v>
      </c>
      <c r="E7" s="57" t="s">
        <v>111</v>
      </c>
      <c r="F7" s="57" t="s">
        <v>9</v>
      </c>
      <c r="G7" s="57" t="s">
        <v>112</v>
      </c>
      <c r="H7" s="58"/>
      <c r="I7" s="59" t="s">
        <v>109</v>
      </c>
      <c r="J7" s="60" t="s">
        <v>113</v>
      </c>
      <c r="K7" s="61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20"/>
    </row>
    <row r="8" spans="1:17" ht="18">
      <c r="A8" s="62" t="s">
        <v>119</v>
      </c>
      <c r="B8" s="24">
        <v>5.05</v>
      </c>
      <c r="C8" s="24">
        <v>8.58</v>
      </c>
      <c r="D8" s="24">
        <v>1.79</v>
      </c>
      <c r="E8" s="24">
        <f t="shared" ref="E8:E13" si="0">(B8*6.5+C8*4)</f>
        <v>67.144999999999996</v>
      </c>
      <c r="F8" s="24">
        <f t="shared" ref="F8:F22" si="1">(B8*6.5+C8*4)*D8</f>
        <v>120.18955</v>
      </c>
      <c r="G8" s="24" t="s">
        <v>120</v>
      </c>
      <c r="H8" s="20"/>
      <c r="I8" s="62" t="s">
        <v>119</v>
      </c>
      <c r="J8" s="63"/>
      <c r="K8" s="64"/>
      <c r="L8" s="65">
        <f>(F8)</f>
        <v>120.18955</v>
      </c>
      <c r="M8" s="44">
        <f>(L8-K8)</f>
        <v>120.18955</v>
      </c>
      <c r="N8" s="44" t="str">
        <f t="shared" ref="N8:N53" si="2">IF(M8&lt;1E-101,"Dr","Cr")</f>
        <v>Cr</v>
      </c>
      <c r="O8" s="44"/>
      <c r="Q8" s="20"/>
    </row>
    <row r="9" spans="1:17">
      <c r="A9" s="62" t="s">
        <v>121</v>
      </c>
      <c r="B9" s="24">
        <v>4.76</v>
      </c>
      <c r="C9" s="24">
        <v>8.35</v>
      </c>
      <c r="D9" s="24">
        <v>2</v>
      </c>
      <c r="E9" s="24">
        <f t="shared" si="0"/>
        <v>64.34</v>
      </c>
      <c r="F9" s="24">
        <f t="shared" si="1"/>
        <v>128.68</v>
      </c>
      <c r="G9" s="24" t="s">
        <v>120</v>
      </c>
      <c r="H9" s="20"/>
      <c r="I9" s="62" t="s">
        <v>121</v>
      </c>
      <c r="J9" s="63"/>
      <c r="K9" s="64"/>
      <c r="L9" s="44">
        <f t="shared" ref="L9:L53" si="3">(L8+F9)</f>
        <v>248.86955</v>
      </c>
      <c r="M9" s="44">
        <f t="shared" ref="M9:M22" si="4">(M8+F9-K9)</f>
        <v>248.86955</v>
      </c>
      <c r="N9" s="44" t="str">
        <f t="shared" si="2"/>
        <v>Cr</v>
      </c>
      <c r="O9" s="44"/>
      <c r="Q9" s="20"/>
    </row>
    <row r="10" spans="1:17">
      <c r="A10" s="62" t="s">
        <v>122</v>
      </c>
      <c r="B10" s="24">
        <v>4.74</v>
      </c>
      <c r="C10" s="24">
        <v>9.5</v>
      </c>
      <c r="D10" s="24">
        <v>1.8</v>
      </c>
      <c r="E10" s="24">
        <f t="shared" si="0"/>
        <v>68.81</v>
      </c>
      <c r="F10" s="24">
        <f t="shared" si="1"/>
        <v>123.858</v>
      </c>
      <c r="G10" s="24" t="s">
        <v>120</v>
      </c>
      <c r="H10" s="20"/>
      <c r="I10" s="62" t="s">
        <v>122</v>
      </c>
      <c r="J10" s="63"/>
      <c r="K10" s="64"/>
      <c r="L10" s="44">
        <f t="shared" si="3"/>
        <v>372.72755000000001</v>
      </c>
      <c r="M10" s="44">
        <f t="shared" si="4"/>
        <v>372.72755000000001</v>
      </c>
      <c r="N10" s="44" t="str">
        <f t="shared" si="2"/>
        <v>Cr</v>
      </c>
      <c r="O10" s="44"/>
      <c r="Q10" s="20"/>
    </row>
    <row r="11" spans="1:17">
      <c r="A11" s="62" t="s">
        <v>123</v>
      </c>
      <c r="B11" s="24">
        <v>4.53</v>
      </c>
      <c r="C11" s="24">
        <v>8.43</v>
      </c>
      <c r="D11" s="24">
        <v>1.9</v>
      </c>
      <c r="E11" s="24">
        <f t="shared" si="0"/>
        <v>63.164999999999999</v>
      </c>
      <c r="F11" s="24">
        <f t="shared" si="1"/>
        <v>120.01349999999999</v>
      </c>
      <c r="G11" s="24" t="s">
        <v>120</v>
      </c>
      <c r="H11" s="20"/>
      <c r="I11" s="62" t="s">
        <v>123</v>
      </c>
      <c r="J11" s="63"/>
      <c r="K11" s="64"/>
      <c r="L11" s="44">
        <f t="shared" si="3"/>
        <v>492.74104999999997</v>
      </c>
      <c r="M11" s="44">
        <f t="shared" si="4"/>
        <v>492.74104999999997</v>
      </c>
      <c r="N11" s="44" t="str">
        <f t="shared" si="2"/>
        <v>Cr</v>
      </c>
      <c r="O11" s="44"/>
      <c r="Q11" s="20"/>
    </row>
    <row r="12" spans="1:17">
      <c r="A12" s="62" t="s">
        <v>124</v>
      </c>
      <c r="B12" s="24">
        <v>5.87</v>
      </c>
      <c r="C12" s="24">
        <v>9.1</v>
      </c>
      <c r="D12" s="24">
        <v>1.66</v>
      </c>
      <c r="E12" s="24">
        <f t="shared" si="0"/>
        <v>74.555000000000007</v>
      </c>
      <c r="F12" s="24">
        <f t="shared" si="1"/>
        <v>123.76130000000001</v>
      </c>
      <c r="G12" s="24" t="s">
        <v>120</v>
      </c>
      <c r="H12" s="20"/>
      <c r="I12" s="62" t="s">
        <v>124</v>
      </c>
      <c r="J12" s="63"/>
      <c r="K12" s="64"/>
      <c r="L12" s="44">
        <f t="shared" si="3"/>
        <v>616.50234999999998</v>
      </c>
      <c r="M12" s="44">
        <f t="shared" si="4"/>
        <v>616.50234999999998</v>
      </c>
      <c r="N12" s="44" t="str">
        <f t="shared" si="2"/>
        <v>Cr</v>
      </c>
      <c r="O12" s="44"/>
      <c r="Q12" s="20"/>
    </row>
    <row r="13" spans="1:17">
      <c r="A13" s="62" t="s">
        <v>125</v>
      </c>
      <c r="B13" s="24">
        <v>4.28</v>
      </c>
      <c r="C13" s="24">
        <v>8.9</v>
      </c>
      <c r="D13" s="24">
        <v>1.7</v>
      </c>
      <c r="E13" s="24">
        <f t="shared" si="0"/>
        <v>63.42</v>
      </c>
      <c r="F13" s="24">
        <f t="shared" si="1"/>
        <v>107.81400000000001</v>
      </c>
      <c r="G13" s="24" t="s">
        <v>120</v>
      </c>
      <c r="H13" s="20"/>
      <c r="I13" s="62" t="s">
        <v>125</v>
      </c>
      <c r="J13" s="63"/>
      <c r="K13" s="64"/>
      <c r="L13" s="44">
        <f t="shared" si="3"/>
        <v>724.31634999999994</v>
      </c>
      <c r="M13" s="44">
        <f t="shared" si="4"/>
        <v>724.31634999999994</v>
      </c>
      <c r="N13" s="44" t="str">
        <f t="shared" si="2"/>
        <v>Cr</v>
      </c>
      <c r="O13" s="44"/>
      <c r="Q13" s="20"/>
    </row>
    <row r="14" spans="1:17">
      <c r="A14" s="66" t="s">
        <v>126</v>
      </c>
      <c r="B14" s="67"/>
      <c r="C14" s="67"/>
      <c r="D14" s="67"/>
      <c r="E14" s="67"/>
      <c r="F14" s="68">
        <f t="shared" si="1"/>
        <v>0</v>
      </c>
      <c r="G14" s="68" t="s">
        <v>127</v>
      </c>
      <c r="H14" s="20"/>
      <c r="I14" s="66" t="s">
        <v>126</v>
      </c>
      <c r="J14" s="63"/>
      <c r="K14" s="64"/>
      <c r="L14" s="44">
        <f t="shared" si="3"/>
        <v>724.31634999999994</v>
      </c>
      <c r="M14" s="44">
        <f t="shared" si="4"/>
        <v>724.31634999999994</v>
      </c>
      <c r="N14" s="44" t="str">
        <f t="shared" si="2"/>
        <v>Cr</v>
      </c>
      <c r="O14" s="44"/>
      <c r="Q14" s="20"/>
    </row>
    <row r="15" spans="1:17">
      <c r="A15" s="66" t="s">
        <v>128</v>
      </c>
      <c r="B15" s="67"/>
      <c r="C15" s="67"/>
      <c r="D15" s="67"/>
      <c r="E15" s="67"/>
      <c r="F15" s="68">
        <f t="shared" si="1"/>
        <v>0</v>
      </c>
      <c r="G15" s="68" t="s">
        <v>127</v>
      </c>
      <c r="H15" s="20"/>
      <c r="I15" s="66" t="s">
        <v>128</v>
      </c>
      <c r="J15" s="63"/>
      <c r="K15" s="64"/>
      <c r="L15" s="44">
        <f t="shared" si="3"/>
        <v>724.31634999999994</v>
      </c>
      <c r="M15" s="44">
        <f t="shared" si="4"/>
        <v>724.31634999999994</v>
      </c>
      <c r="N15" s="44" t="str">
        <f t="shared" si="2"/>
        <v>Cr</v>
      </c>
      <c r="O15" s="44"/>
      <c r="Q15" s="20"/>
    </row>
    <row r="16" spans="1:17">
      <c r="A16" s="66" t="s">
        <v>129</v>
      </c>
      <c r="B16" s="67"/>
      <c r="C16" s="67"/>
      <c r="D16" s="67"/>
      <c r="E16" s="67"/>
      <c r="F16" s="68">
        <f t="shared" si="1"/>
        <v>0</v>
      </c>
      <c r="G16" s="68" t="s">
        <v>127</v>
      </c>
      <c r="H16" s="20"/>
      <c r="I16" s="66" t="s">
        <v>129</v>
      </c>
      <c r="J16" s="63"/>
      <c r="K16" s="64"/>
      <c r="L16" s="44">
        <f t="shared" si="3"/>
        <v>724.31634999999994</v>
      </c>
      <c r="M16" s="44">
        <f t="shared" si="4"/>
        <v>724.31634999999994</v>
      </c>
      <c r="N16" s="44" t="str">
        <f t="shared" si="2"/>
        <v>Cr</v>
      </c>
      <c r="O16" s="44"/>
      <c r="Q16" s="20"/>
    </row>
    <row r="17" spans="1:17">
      <c r="A17" s="62" t="s">
        <v>130</v>
      </c>
      <c r="B17" s="24">
        <v>5.13</v>
      </c>
      <c r="C17" s="24">
        <v>8.92</v>
      </c>
      <c r="D17" s="24">
        <v>2.1</v>
      </c>
      <c r="E17" s="24">
        <f t="shared" ref="E17:E53" si="5">(B17*6.5+C17*4)</f>
        <v>69.025000000000006</v>
      </c>
      <c r="F17" s="24">
        <f t="shared" si="1"/>
        <v>144.95250000000001</v>
      </c>
      <c r="G17" s="24" t="s">
        <v>120</v>
      </c>
      <c r="H17" s="20"/>
      <c r="I17" s="62" t="s">
        <v>130</v>
      </c>
      <c r="J17" s="63"/>
      <c r="K17" s="64"/>
      <c r="L17" s="44">
        <f t="shared" si="3"/>
        <v>869.26884999999993</v>
      </c>
      <c r="M17" s="44">
        <f t="shared" si="4"/>
        <v>869.26884999999993</v>
      </c>
      <c r="N17" s="44" t="str">
        <f t="shared" si="2"/>
        <v>Cr</v>
      </c>
      <c r="O17" s="44"/>
      <c r="Q17" s="20"/>
    </row>
    <row r="18" spans="1:17">
      <c r="A18" s="62" t="s">
        <v>131</v>
      </c>
      <c r="B18" s="24">
        <v>5.0999999999999996</v>
      </c>
      <c r="C18" s="24">
        <v>8.6</v>
      </c>
      <c r="D18" s="24">
        <v>2.5</v>
      </c>
      <c r="E18" s="24">
        <f t="shared" si="5"/>
        <v>67.55</v>
      </c>
      <c r="F18" s="24">
        <f t="shared" si="1"/>
        <v>168.875</v>
      </c>
      <c r="G18" s="24" t="s">
        <v>120</v>
      </c>
      <c r="H18" s="20"/>
      <c r="I18" s="62" t="s">
        <v>131</v>
      </c>
      <c r="J18" s="63"/>
      <c r="K18" s="64"/>
      <c r="L18" s="44">
        <f t="shared" si="3"/>
        <v>1038.1438499999999</v>
      </c>
      <c r="M18" s="44">
        <f t="shared" si="4"/>
        <v>1038.1438499999999</v>
      </c>
      <c r="N18" s="44" t="str">
        <f t="shared" si="2"/>
        <v>Cr</v>
      </c>
      <c r="O18" s="44"/>
      <c r="Q18" s="20"/>
    </row>
    <row r="19" spans="1:17">
      <c r="A19" s="62" t="s">
        <v>132</v>
      </c>
      <c r="B19" s="24">
        <v>5.7</v>
      </c>
      <c r="C19" s="24">
        <v>8.8000000000000007</v>
      </c>
      <c r="D19" s="24">
        <v>2.2000000000000002</v>
      </c>
      <c r="E19" s="24">
        <f t="shared" si="5"/>
        <v>72.25</v>
      </c>
      <c r="F19" s="24">
        <f t="shared" si="1"/>
        <v>158.95000000000002</v>
      </c>
      <c r="G19" s="24" t="s">
        <v>120</v>
      </c>
      <c r="H19" s="20"/>
      <c r="I19" s="62" t="s">
        <v>132</v>
      </c>
      <c r="J19" s="63"/>
      <c r="K19" s="64"/>
      <c r="L19" s="44">
        <f t="shared" si="3"/>
        <v>1197.09385</v>
      </c>
      <c r="M19" s="44">
        <f t="shared" si="4"/>
        <v>1197.09385</v>
      </c>
      <c r="N19" s="44" t="str">
        <f t="shared" si="2"/>
        <v>Cr</v>
      </c>
      <c r="O19" s="44"/>
      <c r="Q19" s="20"/>
    </row>
    <row r="20" spans="1:17">
      <c r="A20" s="62" t="s">
        <v>133</v>
      </c>
      <c r="B20" s="24">
        <v>5.2</v>
      </c>
      <c r="C20" s="24">
        <v>8.8000000000000007</v>
      </c>
      <c r="D20" s="24">
        <v>2.4</v>
      </c>
      <c r="E20" s="24">
        <f t="shared" si="5"/>
        <v>69</v>
      </c>
      <c r="F20" s="24">
        <f t="shared" si="1"/>
        <v>165.6</v>
      </c>
      <c r="G20" s="24" t="s">
        <v>120</v>
      </c>
      <c r="H20" s="20"/>
      <c r="I20" s="62" t="s">
        <v>133</v>
      </c>
      <c r="J20" s="63"/>
      <c r="K20" s="64"/>
      <c r="L20" s="44">
        <f t="shared" si="3"/>
        <v>1362.6938499999999</v>
      </c>
      <c r="M20" s="44">
        <f t="shared" si="4"/>
        <v>1362.6938499999999</v>
      </c>
      <c r="N20" s="44" t="str">
        <f t="shared" si="2"/>
        <v>Cr</v>
      </c>
      <c r="O20" s="44"/>
      <c r="Q20" s="20"/>
    </row>
    <row r="21" spans="1:17">
      <c r="A21" s="62" t="s">
        <v>134</v>
      </c>
      <c r="B21" s="24">
        <v>4.24</v>
      </c>
      <c r="C21" s="24">
        <v>8.6999999999999993</v>
      </c>
      <c r="D21" s="24">
        <v>2.5</v>
      </c>
      <c r="E21" s="24">
        <f t="shared" si="5"/>
        <v>62.36</v>
      </c>
      <c r="F21" s="24">
        <f t="shared" si="1"/>
        <v>155.9</v>
      </c>
      <c r="G21" s="24" t="s">
        <v>120</v>
      </c>
      <c r="H21" s="20"/>
      <c r="I21" s="62" t="s">
        <v>134</v>
      </c>
      <c r="J21" s="63"/>
      <c r="K21" s="64"/>
      <c r="L21" s="44">
        <f t="shared" si="3"/>
        <v>1518.59385</v>
      </c>
      <c r="M21" s="44">
        <f t="shared" si="4"/>
        <v>1518.59385</v>
      </c>
      <c r="N21" s="44" t="str">
        <f t="shared" si="2"/>
        <v>Cr</v>
      </c>
      <c r="O21" s="44"/>
      <c r="Q21" s="20"/>
    </row>
    <row r="22" spans="1:17">
      <c r="A22" s="62" t="s">
        <v>135</v>
      </c>
      <c r="B22" s="24">
        <v>5.38</v>
      </c>
      <c r="C22" s="24">
        <v>9.1199999999999992</v>
      </c>
      <c r="D22" s="24">
        <v>2.5</v>
      </c>
      <c r="E22" s="24">
        <f t="shared" si="5"/>
        <v>71.449999999999989</v>
      </c>
      <c r="F22" s="24">
        <f t="shared" si="1"/>
        <v>178.62499999999997</v>
      </c>
      <c r="G22" s="24" t="s">
        <v>120</v>
      </c>
      <c r="H22" s="20"/>
      <c r="I22" s="62" t="s">
        <v>135</v>
      </c>
      <c r="J22" s="63"/>
      <c r="K22" s="64"/>
      <c r="L22" s="44">
        <f t="shared" si="3"/>
        <v>1697.21885</v>
      </c>
      <c r="M22" s="44">
        <f t="shared" si="4"/>
        <v>1697.21885</v>
      </c>
      <c r="N22" s="44" t="str">
        <f t="shared" si="2"/>
        <v>Cr</v>
      </c>
      <c r="O22" s="44"/>
      <c r="Q22" s="20"/>
    </row>
    <row r="23" spans="1:17">
      <c r="A23" s="62" t="s">
        <v>136</v>
      </c>
      <c r="B23" s="24">
        <v>4.78</v>
      </c>
      <c r="C23" s="24">
        <v>9</v>
      </c>
      <c r="D23" s="24">
        <v>2.5</v>
      </c>
      <c r="E23" s="24">
        <f t="shared" si="5"/>
        <v>67.069999999999993</v>
      </c>
      <c r="F23" s="24">
        <f t="shared" ref="F23:F53" si="6">(B23*6.5+C23*4)*D23</f>
        <v>167.67499999999998</v>
      </c>
      <c r="G23" s="24" t="s">
        <v>120</v>
      </c>
      <c r="H23" s="20"/>
      <c r="I23" s="62" t="s">
        <v>136</v>
      </c>
      <c r="J23" s="69"/>
      <c r="K23" s="70">
        <v>1864.8938499999999</v>
      </c>
      <c r="L23" s="71">
        <f t="shared" si="3"/>
        <v>1864.8938499999999</v>
      </c>
      <c r="M23" s="71">
        <f>(M22+F23-K23)</f>
        <v>0</v>
      </c>
      <c r="N23" s="44" t="str">
        <f t="shared" si="2"/>
        <v>Dr</v>
      </c>
      <c r="O23" s="72" t="s">
        <v>137</v>
      </c>
      <c r="Q23" s="20"/>
    </row>
    <row r="24" spans="1:17">
      <c r="A24" s="73" t="s">
        <v>138</v>
      </c>
      <c r="B24" s="74">
        <v>5.8</v>
      </c>
      <c r="C24" s="74">
        <v>9</v>
      </c>
      <c r="D24" s="74">
        <v>2.2000000000000002</v>
      </c>
      <c r="E24" s="75">
        <f t="shared" si="5"/>
        <v>73.699999999999989</v>
      </c>
      <c r="F24" s="74">
        <f t="shared" si="6"/>
        <v>162.13999999999999</v>
      </c>
      <c r="G24" s="75" t="s">
        <v>120</v>
      </c>
      <c r="H24" s="20"/>
      <c r="I24" s="73" t="s">
        <v>138</v>
      </c>
      <c r="J24" s="76"/>
      <c r="K24" s="77"/>
      <c r="L24" s="78">
        <f t="shared" si="3"/>
        <v>2027.0338499999998</v>
      </c>
      <c r="M24" s="78">
        <f>(M23+F24-K24)</f>
        <v>162.13999999999999</v>
      </c>
      <c r="N24" s="78" t="str">
        <f t="shared" si="2"/>
        <v>Cr</v>
      </c>
      <c r="O24" s="78"/>
      <c r="Q24" s="20"/>
    </row>
    <row r="25" spans="1:17">
      <c r="A25" s="62" t="s">
        <v>139</v>
      </c>
      <c r="B25" s="24">
        <v>5.23</v>
      </c>
      <c r="C25" s="24">
        <v>8.8000000000000007</v>
      </c>
      <c r="D25" s="24">
        <v>2.5</v>
      </c>
      <c r="E25" s="24">
        <f t="shared" si="5"/>
        <v>69.195000000000007</v>
      </c>
      <c r="F25" s="24">
        <f t="shared" si="6"/>
        <v>172.98750000000001</v>
      </c>
      <c r="G25" s="24" t="s">
        <v>120</v>
      </c>
      <c r="H25" s="20"/>
      <c r="I25" s="62" t="s">
        <v>139</v>
      </c>
      <c r="J25" s="63"/>
      <c r="K25" s="64"/>
      <c r="L25" s="44">
        <f t="shared" si="3"/>
        <v>2200.02135</v>
      </c>
      <c r="M25" s="71">
        <f t="shared" ref="M25:M35" si="7">(M24+F25-K25)</f>
        <v>335.1275</v>
      </c>
      <c r="N25" s="44" t="str">
        <f t="shared" si="2"/>
        <v>Cr</v>
      </c>
      <c r="O25" s="44"/>
      <c r="Q25" s="20"/>
    </row>
    <row r="26" spans="1:17">
      <c r="A26" s="62" t="s">
        <v>140</v>
      </c>
      <c r="B26" s="24">
        <v>5.57</v>
      </c>
      <c r="C26" s="24">
        <v>8</v>
      </c>
      <c r="D26" s="24">
        <v>2.5</v>
      </c>
      <c r="E26" s="24">
        <f t="shared" si="5"/>
        <v>68.204999999999998</v>
      </c>
      <c r="F26" s="24">
        <f t="shared" si="6"/>
        <v>170.51249999999999</v>
      </c>
      <c r="G26" s="24" t="s">
        <v>120</v>
      </c>
      <c r="H26" s="20"/>
      <c r="I26" s="62" t="s">
        <v>140</v>
      </c>
      <c r="J26" s="63"/>
      <c r="K26" s="64"/>
      <c r="L26" s="44">
        <f t="shared" si="3"/>
        <v>2370.5338499999998</v>
      </c>
      <c r="M26" s="71">
        <f t="shared" si="7"/>
        <v>505.64</v>
      </c>
      <c r="N26" s="44" t="str">
        <f t="shared" si="2"/>
        <v>Cr</v>
      </c>
      <c r="O26" s="44"/>
      <c r="Q26" s="20"/>
    </row>
    <row r="27" spans="1:17">
      <c r="A27" s="62" t="s">
        <v>141</v>
      </c>
      <c r="B27" s="24">
        <v>5.17</v>
      </c>
      <c r="C27" s="24">
        <v>8.59</v>
      </c>
      <c r="D27" s="24">
        <v>2.6</v>
      </c>
      <c r="E27" s="24">
        <f t="shared" si="5"/>
        <v>67.965000000000003</v>
      </c>
      <c r="F27" s="24">
        <f t="shared" si="6"/>
        <v>176.709</v>
      </c>
      <c r="G27" s="24" t="s">
        <v>120</v>
      </c>
      <c r="H27" s="20"/>
      <c r="I27" s="62" t="s">
        <v>141</v>
      </c>
      <c r="J27" s="63"/>
      <c r="K27" s="64"/>
      <c r="L27" s="44">
        <f t="shared" si="3"/>
        <v>2547.2428499999996</v>
      </c>
      <c r="M27" s="71">
        <f t="shared" si="7"/>
        <v>682.34899999999993</v>
      </c>
      <c r="N27" s="44" t="str">
        <f t="shared" si="2"/>
        <v>Cr</v>
      </c>
      <c r="O27" s="44"/>
      <c r="Q27" s="20"/>
    </row>
    <row r="28" spans="1:17">
      <c r="A28" s="62" t="s">
        <v>142</v>
      </c>
      <c r="B28" s="24">
        <v>5.33</v>
      </c>
      <c r="C28" s="24">
        <v>8.58</v>
      </c>
      <c r="D28" s="24">
        <v>2.4</v>
      </c>
      <c r="E28" s="24">
        <f t="shared" si="5"/>
        <v>68.965000000000003</v>
      </c>
      <c r="F28" s="24">
        <f t="shared" si="6"/>
        <v>165.51599999999999</v>
      </c>
      <c r="G28" s="24" t="s">
        <v>120</v>
      </c>
      <c r="H28" s="20"/>
      <c r="I28" s="62" t="s">
        <v>142</v>
      </c>
      <c r="J28" s="63"/>
      <c r="K28" s="64"/>
      <c r="L28" s="44">
        <f t="shared" si="3"/>
        <v>2712.7588499999997</v>
      </c>
      <c r="M28" s="71">
        <f t="shared" si="7"/>
        <v>847.8649999999999</v>
      </c>
      <c r="N28" s="44" t="str">
        <f t="shared" si="2"/>
        <v>Cr</v>
      </c>
      <c r="O28" s="44"/>
      <c r="Q28" s="20"/>
    </row>
    <row r="29" spans="1:17">
      <c r="A29" s="62" t="s">
        <v>143</v>
      </c>
      <c r="B29" s="24">
        <v>5</v>
      </c>
      <c r="C29" s="24">
        <v>8.76</v>
      </c>
      <c r="D29" s="24">
        <v>2.1</v>
      </c>
      <c r="E29" s="24">
        <f t="shared" si="5"/>
        <v>67.539999999999992</v>
      </c>
      <c r="F29" s="24">
        <f t="shared" si="6"/>
        <v>141.834</v>
      </c>
      <c r="G29" s="24" t="s">
        <v>120</v>
      </c>
      <c r="H29" s="20"/>
      <c r="I29" s="62" t="s">
        <v>143</v>
      </c>
      <c r="J29" s="63"/>
      <c r="K29" s="64"/>
      <c r="L29" s="44">
        <f t="shared" si="3"/>
        <v>2854.5928499999995</v>
      </c>
      <c r="M29" s="71">
        <f t="shared" si="7"/>
        <v>989.69899999999984</v>
      </c>
      <c r="N29" s="44" t="str">
        <f t="shared" si="2"/>
        <v>Cr</v>
      </c>
      <c r="O29" s="44"/>
      <c r="Q29" s="20"/>
    </row>
    <row r="30" spans="1:17">
      <c r="A30" s="62" t="s">
        <v>144</v>
      </c>
      <c r="B30" s="24">
        <v>5.88</v>
      </c>
      <c r="C30" s="24">
        <v>8.42</v>
      </c>
      <c r="D30" s="24">
        <v>2.2000000000000002</v>
      </c>
      <c r="E30" s="24">
        <f t="shared" si="5"/>
        <v>71.900000000000006</v>
      </c>
      <c r="F30" s="24">
        <f t="shared" si="6"/>
        <v>158.18000000000004</v>
      </c>
      <c r="G30" s="24" t="s">
        <v>120</v>
      </c>
      <c r="H30" s="20"/>
      <c r="I30" s="62" t="s">
        <v>144</v>
      </c>
      <c r="J30" s="63"/>
      <c r="K30" s="64"/>
      <c r="L30" s="44">
        <f t="shared" si="3"/>
        <v>3012.7728499999994</v>
      </c>
      <c r="M30" s="71">
        <f t="shared" si="7"/>
        <v>1147.8789999999999</v>
      </c>
      <c r="N30" s="44" t="str">
        <f t="shared" si="2"/>
        <v>Cr</v>
      </c>
      <c r="O30" s="44"/>
      <c r="Q30" s="20"/>
    </row>
    <row r="31" spans="1:17">
      <c r="A31" s="62" t="s">
        <v>145</v>
      </c>
      <c r="B31" s="24">
        <v>5.55</v>
      </c>
      <c r="C31" s="24">
        <v>9.2100000000000009</v>
      </c>
      <c r="D31" s="24">
        <v>2</v>
      </c>
      <c r="E31" s="24">
        <f t="shared" si="5"/>
        <v>72.914999999999992</v>
      </c>
      <c r="F31" s="24">
        <f t="shared" si="6"/>
        <v>145.82999999999998</v>
      </c>
      <c r="G31" s="24" t="s">
        <v>120</v>
      </c>
      <c r="H31" s="20"/>
      <c r="I31" s="62" t="s">
        <v>145</v>
      </c>
      <c r="J31" s="63"/>
      <c r="K31" s="64"/>
      <c r="L31" s="44">
        <f t="shared" si="3"/>
        <v>3158.6028499999993</v>
      </c>
      <c r="M31" s="71">
        <f t="shared" si="7"/>
        <v>1293.7089999999998</v>
      </c>
      <c r="N31" s="44" t="str">
        <f t="shared" si="2"/>
        <v>Cr</v>
      </c>
      <c r="O31" s="44"/>
      <c r="Q31" s="20"/>
    </row>
    <row r="32" spans="1:17">
      <c r="A32" s="62" t="s">
        <v>146</v>
      </c>
      <c r="B32" s="24">
        <v>4.7</v>
      </c>
      <c r="C32" s="24">
        <v>8.32</v>
      </c>
      <c r="D32" s="24">
        <v>3.4</v>
      </c>
      <c r="E32" s="24">
        <f t="shared" si="5"/>
        <v>63.83</v>
      </c>
      <c r="F32" s="24">
        <f t="shared" si="6"/>
        <v>217.02199999999999</v>
      </c>
      <c r="G32" s="24" t="s">
        <v>120</v>
      </c>
      <c r="H32" s="20"/>
      <c r="I32" s="62" t="s">
        <v>146</v>
      </c>
      <c r="J32" s="63"/>
      <c r="K32" s="64"/>
      <c r="L32" s="44">
        <f t="shared" si="3"/>
        <v>3375.6248499999992</v>
      </c>
      <c r="M32" s="71">
        <f t="shared" si="7"/>
        <v>1510.7309999999998</v>
      </c>
      <c r="N32" s="44" t="str">
        <f t="shared" si="2"/>
        <v>Cr</v>
      </c>
      <c r="O32" s="44"/>
      <c r="Q32" s="20"/>
    </row>
    <row r="33" spans="1:17">
      <c r="A33" s="62" t="s">
        <v>147</v>
      </c>
      <c r="B33" s="24">
        <v>4.7</v>
      </c>
      <c r="C33" s="24">
        <v>8.3000000000000007</v>
      </c>
      <c r="D33" s="24">
        <v>1.3</v>
      </c>
      <c r="E33" s="24">
        <f t="shared" si="5"/>
        <v>63.75</v>
      </c>
      <c r="F33" s="24">
        <f t="shared" si="6"/>
        <v>82.875</v>
      </c>
      <c r="G33" s="24" t="s">
        <v>120</v>
      </c>
      <c r="H33" s="20"/>
      <c r="I33" s="62" t="s">
        <v>147</v>
      </c>
      <c r="J33" s="63"/>
      <c r="K33" s="64"/>
      <c r="L33" s="44">
        <f t="shared" si="3"/>
        <v>3458.4998499999992</v>
      </c>
      <c r="M33" s="71">
        <f t="shared" si="7"/>
        <v>1593.6059999999998</v>
      </c>
      <c r="N33" s="44" t="str">
        <f t="shared" si="2"/>
        <v>Cr</v>
      </c>
      <c r="O33" s="44"/>
      <c r="Q33" s="20"/>
    </row>
    <row r="34" spans="1:17">
      <c r="A34" s="62" t="s">
        <v>148</v>
      </c>
      <c r="B34" s="24">
        <v>4.96</v>
      </c>
      <c r="C34" s="24">
        <v>8.4499999999999993</v>
      </c>
      <c r="D34" s="24">
        <v>2.1</v>
      </c>
      <c r="E34" s="24">
        <f t="shared" si="5"/>
        <v>66.039999999999992</v>
      </c>
      <c r="F34" s="24">
        <f t="shared" si="6"/>
        <v>138.684</v>
      </c>
      <c r="G34" s="24" t="s">
        <v>120</v>
      </c>
      <c r="H34" s="20"/>
      <c r="I34" s="62" t="s">
        <v>148</v>
      </c>
      <c r="J34" s="63"/>
      <c r="K34" s="64"/>
      <c r="L34" s="44">
        <f t="shared" si="3"/>
        <v>3597.1838499999994</v>
      </c>
      <c r="M34" s="71">
        <f t="shared" si="7"/>
        <v>1732.2899999999997</v>
      </c>
      <c r="N34" s="44" t="str">
        <f t="shared" si="2"/>
        <v>Cr</v>
      </c>
      <c r="O34" s="44"/>
      <c r="Q34" s="20"/>
    </row>
    <row r="35" spans="1:17">
      <c r="A35" s="62" t="s">
        <v>149</v>
      </c>
      <c r="B35" s="24">
        <v>4</v>
      </c>
      <c r="C35" s="24">
        <v>6</v>
      </c>
      <c r="D35" s="24">
        <v>3.1</v>
      </c>
      <c r="E35" s="24">
        <f t="shared" si="5"/>
        <v>50</v>
      </c>
      <c r="F35" s="24">
        <f t="shared" si="6"/>
        <v>155</v>
      </c>
      <c r="G35" s="24" t="s">
        <v>120</v>
      </c>
      <c r="H35" s="20"/>
      <c r="I35" s="62" t="s">
        <v>149</v>
      </c>
      <c r="J35" s="63"/>
      <c r="K35" s="64"/>
      <c r="L35" s="44">
        <f t="shared" si="3"/>
        <v>3752.1838499999994</v>
      </c>
      <c r="M35" s="71">
        <f t="shared" si="7"/>
        <v>1887.2899999999997</v>
      </c>
      <c r="N35" s="44" t="str">
        <f t="shared" si="2"/>
        <v>Cr</v>
      </c>
      <c r="O35" s="44"/>
      <c r="Q35" s="20"/>
    </row>
    <row r="36" spans="1:17">
      <c r="A36" s="62" t="s">
        <v>150</v>
      </c>
      <c r="B36" s="24">
        <v>4.16</v>
      </c>
      <c r="C36" s="24">
        <v>7.48</v>
      </c>
      <c r="D36" s="24">
        <v>3.48</v>
      </c>
      <c r="E36" s="24">
        <f t="shared" si="5"/>
        <v>56.96</v>
      </c>
      <c r="F36" s="24">
        <f t="shared" si="6"/>
        <v>198.2208</v>
      </c>
      <c r="G36" s="24" t="s">
        <v>120</v>
      </c>
      <c r="H36" s="20"/>
      <c r="I36" s="62" t="s">
        <v>150</v>
      </c>
      <c r="J36" s="63"/>
      <c r="K36" s="64"/>
      <c r="L36" s="44">
        <f t="shared" si="3"/>
        <v>3950.4046499999995</v>
      </c>
      <c r="M36" s="71">
        <f t="shared" ref="M36:M48" si="8">(M35+F36-K36)</f>
        <v>2085.5107999999996</v>
      </c>
      <c r="N36" s="44" t="str">
        <f t="shared" si="2"/>
        <v>Cr</v>
      </c>
      <c r="O36" s="44"/>
      <c r="Q36" s="20"/>
    </row>
    <row r="37" spans="1:17">
      <c r="A37" s="62" t="s">
        <v>151</v>
      </c>
      <c r="B37" s="24">
        <v>4</v>
      </c>
      <c r="C37" s="24">
        <v>7</v>
      </c>
      <c r="D37" s="24">
        <v>2</v>
      </c>
      <c r="E37" s="24">
        <f t="shared" si="5"/>
        <v>54</v>
      </c>
      <c r="F37" s="24">
        <f t="shared" si="6"/>
        <v>108</v>
      </c>
      <c r="G37" s="24" t="s">
        <v>120</v>
      </c>
      <c r="H37" s="20"/>
      <c r="I37" s="62" t="s">
        <v>151</v>
      </c>
      <c r="J37" s="63"/>
      <c r="K37" s="64"/>
      <c r="L37" s="44">
        <f t="shared" si="3"/>
        <v>4058.4046499999995</v>
      </c>
      <c r="M37" s="71">
        <f t="shared" si="8"/>
        <v>2193.5107999999996</v>
      </c>
      <c r="N37" s="44" t="str">
        <f t="shared" si="2"/>
        <v>Cr</v>
      </c>
      <c r="O37" s="44"/>
      <c r="Q37" s="20"/>
    </row>
    <row r="38" spans="1:17">
      <c r="A38" s="62" t="s">
        <v>152</v>
      </c>
      <c r="B38" s="24">
        <v>5.9</v>
      </c>
      <c r="C38" s="24">
        <v>9.4</v>
      </c>
      <c r="D38" s="24">
        <v>3.4</v>
      </c>
      <c r="E38" s="24">
        <f t="shared" si="5"/>
        <v>75.95</v>
      </c>
      <c r="F38" s="24">
        <f t="shared" si="6"/>
        <v>258.23</v>
      </c>
      <c r="G38" s="24" t="s">
        <v>120</v>
      </c>
      <c r="H38" s="20"/>
      <c r="I38" s="62" t="s">
        <v>152</v>
      </c>
      <c r="J38" s="63"/>
      <c r="K38" s="64"/>
      <c r="L38" s="44">
        <f t="shared" si="3"/>
        <v>4316.63465</v>
      </c>
      <c r="M38" s="71">
        <f t="shared" si="8"/>
        <v>2451.7407999999996</v>
      </c>
      <c r="N38" s="44" t="str">
        <f t="shared" si="2"/>
        <v>Cr</v>
      </c>
      <c r="O38" s="44"/>
      <c r="Q38" s="20"/>
    </row>
    <row r="39" spans="1:17">
      <c r="A39" s="62" t="s">
        <v>153</v>
      </c>
      <c r="B39" s="24">
        <v>5.5</v>
      </c>
      <c r="C39" s="24">
        <v>8.8000000000000007</v>
      </c>
      <c r="D39" s="24">
        <v>2.2999999999999998</v>
      </c>
      <c r="E39" s="24">
        <f t="shared" si="5"/>
        <v>70.95</v>
      </c>
      <c r="F39" s="24">
        <f t="shared" si="6"/>
        <v>163.185</v>
      </c>
      <c r="G39" s="24" t="s">
        <v>120</v>
      </c>
      <c r="H39" s="20"/>
      <c r="I39" s="62" t="s">
        <v>153</v>
      </c>
      <c r="J39" s="63"/>
      <c r="K39" s="64"/>
      <c r="L39" s="44">
        <f t="shared" si="3"/>
        <v>4479.8196500000004</v>
      </c>
      <c r="M39" s="71">
        <f t="shared" si="8"/>
        <v>2614.9257999999995</v>
      </c>
      <c r="N39" s="44" t="str">
        <f t="shared" si="2"/>
        <v>Cr</v>
      </c>
      <c r="O39" s="44"/>
      <c r="Q39" s="20"/>
    </row>
    <row r="40" spans="1:17">
      <c r="A40" s="66" t="s">
        <v>154</v>
      </c>
      <c r="B40" s="68"/>
      <c r="C40" s="68"/>
      <c r="D40" s="68"/>
      <c r="E40" s="68">
        <f t="shared" si="5"/>
        <v>0</v>
      </c>
      <c r="F40" s="68">
        <f t="shared" si="6"/>
        <v>0</v>
      </c>
      <c r="G40" s="68" t="s">
        <v>155</v>
      </c>
      <c r="H40" s="20"/>
      <c r="I40" s="66" t="s">
        <v>154</v>
      </c>
      <c r="J40" s="63"/>
      <c r="K40" s="64"/>
      <c r="L40" s="44">
        <f t="shared" si="3"/>
        <v>4479.8196500000004</v>
      </c>
      <c r="M40" s="71">
        <f t="shared" si="8"/>
        <v>2614.9257999999995</v>
      </c>
      <c r="N40" s="44" t="str">
        <f t="shared" si="2"/>
        <v>Cr</v>
      </c>
      <c r="O40" s="44"/>
      <c r="Q40" s="20"/>
    </row>
    <row r="41" spans="1:17">
      <c r="A41" s="66" t="s">
        <v>156</v>
      </c>
      <c r="B41" s="68"/>
      <c r="C41" s="68"/>
      <c r="D41" s="68"/>
      <c r="E41" s="68">
        <f t="shared" si="5"/>
        <v>0</v>
      </c>
      <c r="F41" s="68">
        <f t="shared" si="6"/>
        <v>0</v>
      </c>
      <c r="G41" s="68" t="s">
        <v>155</v>
      </c>
      <c r="H41" s="20"/>
      <c r="I41" s="66" t="s">
        <v>156</v>
      </c>
      <c r="J41" s="63"/>
      <c r="K41" s="64"/>
      <c r="L41" s="44">
        <f t="shared" si="3"/>
        <v>4479.8196500000004</v>
      </c>
      <c r="M41" s="71">
        <f t="shared" si="8"/>
        <v>2614.9257999999995</v>
      </c>
      <c r="N41" s="44" t="str">
        <f t="shared" si="2"/>
        <v>Cr</v>
      </c>
      <c r="O41" s="44"/>
      <c r="Q41" s="20"/>
    </row>
    <row r="42" spans="1:17">
      <c r="A42" s="66" t="s">
        <v>157</v>
      </c>
      <c r="B42" s="68"/>
      <c r="C42" s="68"/>
      <c r="D42" s="68"/>
      <c r="E42" s="68">
        <f t="shared" si="5"/>
        <v>0</v>
      </c>
      <c r="F42" s="68">
        <f t="shared" si="6"/>
        <v>0</v>
      </c>
      <c r="G42" s="68" t="s">
        <v>155</v>
      </c>
      <c r="H42" s="20"/>
      <c r="I42" s="66" t="s">
        <v>157</v>
      </c>
      <c r="J42" s="63"/>
      <c r="K42" s="64"/>
      <c r="L42" s="44">
        <f t="shared" si="3"/>
        <v>4479.8196500000004</v>
      </c>
      <c r="M42" s="71">
        <f t="shared" si="8"/>
        <v>2614.9257999999995</v>
      </c>
      <c r="N42" s="44" t="str">
        <f t="shared" si="2"/>
        <v>Cr</v>
      </c>
      <c r="O42" s="44"/>
      <c r="Q42" s="20"/>
    </row>
    <row r="43" spans="1:17">
      <c r="A43" s="66" t="s">
        <v>158</v>
      </c>
      <c r="B43" s="68"/>
      <c r="C43" s="68"/>
      <c r="D43" s="68"/>
      <c r="E43" s="68">
        <f t="shared" si="5"/>
        <v>0</v>
      </c>
      <c r="F43" s="68">
        <f t="shared" si="6"/>
        <v>0</v>
      </c>
      <c r="G43" s="68" t="s">
        <v>155</v>
      </c>
      <c r="H43" s="20"/>
      <c r="I43" s="66" t="s">
        <v>158</v>
      </c>
      <c r="J43" s="63"/>
      <c r="K43" s="64"/>
      <c r="L43" s="44">
        <f t="shared" si="3"/>
        <v>4479.8196500000004</v>
      </c>
      <c r="M43" s="71">
        <f t="shared" si="8"/>
        <v>2614.9257999999995</v>
      </c>
      <c r="N43" s="44" t="str">
        <f t="shared" si="2"/>
        <v>Cr</v>
      </c>
      <c r="O43" s="44"/>
      <c r="Q43" s="20"/>
    </row>
    <row r="44" spans="1:17">
      <c r="A44" s="66" t="s">
        <v>159</v>
      </c>
      <c r="B44" s="68"/>
      <c r="C44" s="68"/>
      <c r="D44" s="68"/>
      <c r="E44" s="68">
        <f t="shared" si="5"/>
        <v>0</v>
      </c>
      <c r="F44" s="68">
        <f t="shared" si="6"/>
        <v>0</v>
      </c>
      <c r="G44" s="68" t="s">
        <v>155</v>
      </c>
      <c r="H44" s="20"/>
      <c r="I44" s="66" t="s">
        <v>159</v>
      </c>
      <c r="J44" s="63"/>
      <c r="K44" s="64"/>
      <c r="L44" s="44">
        <f t="shared" si="3"/>
        <v>4479.8196500000004</v>
      </c>
      <c r="M44" s="71">
        <f t="shared" si="8"/>
        <v>2614.9257999999995</v>
      </c>
      <c r="N44" s="44" t="str">
        <f t="shared" si="2"/>
        <v>Cr</v>
      </c>
      <c r="O44" s="44"/>
      <c r="Q44" s="20"/>
    </row>
    <row r="45" spans="1:17">
      <c r="A45" s="66" t="s">
        <v>160</v>
      </c>
      <c r="B45" s="68"/>
      <c r="C45" s="68"/>
      <c r="D45" s="68"/>
      <c r="E45" s="68">
        <f t="shared" si="5"/>
        <v>0</v>
      </c>
      <c r="F45" s="68">
        <f t="shared" si="6"/>
        <v>0</v>
      </c>
      <c r="G45" s="68" t="s">
        <v>155</v>
      </c>
      <c r="H45" s="20"/>
      <c r="I45" s="66" t="s">
        <v>160</v>
      </c>
      <c r="J45" s="63"/>
      <c r="K45" s="64"/>
      <c r="L45" s="44">
        <f t="shared" si="3"/>
        <v>4479.8196500000004</v>
      </c>
      <c r="M45" s="71">
        <f t="shared" si="8"/>
        <v>2614.9257999999995</v>
      </c>
      <c r="N45" s="44" t="str">
        <f t="shared" si="2"/>
        <v>Cr</v>
      </c>
      <c r="O45" s="44"/>
      <c r="Q45" s="20"/>
    </row>
    <row r="46" spans="1:17">
      <c r="A46" s="79" t="s">
        <v>161</v>
      </c>
      <c r="B46" s="80">
        <v>7</v>
      </c>
      <c r="C46" s="80">
        <v>5.3</v>
      </c>
      <c r="D46" s="80">
        <v>2.4</v>
      </c>
      <c r="E46" s="24">
        <f t="shared" si="5"/>
        <v>66.7</v>
      </c>
      <c r="F46" s="24">
        <f t="shared" si="6"/>
        <v>160.08000000000001</v>
      </c>
      <c r="G46" s="24" t="s">
        <v>120</v>
      </c>
      <c r="H46" s="20"/>
      <c r="I46" s="79" t="s">
        <v>161</v>
      </c>
      <c r="J46" s="63"/>
      <c r="K46" s="64"/>
      <c r="L46" s="44">
        <f t="shared" si="3"/>
        <v>4639.8996500000003</v>
      </c>
      <c r="M46" s="71">
        <f t="shared" si="8"/>
        <v>2775.0057999999995</v>
      </c>
      <c r="N46" s="44" t="str">
        <f t="shared" si="2"/>
        <v>Cr</v>
      </c>
      <c r="O46" s="44"/>
      <c r="Q46" s="20"/>
    </row>
    <row r="47" spans="1:17">
      <c r="A47" s="63" t="s">
        <v>162</v>
      </c>
      <c r="B47" s="44">
        <v>5.0999999999999996</v>
      </c>
      <c r="C47" s="44">
        <v>7.4</v>
      </c>
      <c r="D47" s="44">
        <v>2</v>
      </c>
      <c r="E47" s="24">
        <f t="shared" si="5"/>
        <v>62.75</v>
      </c>
      <c r="F47" s="24">
        <f t="shared" si="6"/>
        <v>125.5</v>
      </c>
      <c r="G47" s="24" t="s">
        <v>120</v>
      </c>
      <c r="H47" s="20"/>
      <c r="I47" s="63" t="s">
        <v>162</v>
      </c>
      <c r="J47" s="63"/>
      <c r="K47" s="64"/>
      <c r="L47" s="44">
        <f t="shared" si="3"/>
        <v>4765.3996500000003</v>
      </c>
      <c r="M47" s="71">
        <f t="shared" si="8"/>
        <v>2900.5057999999995</v>
      </c>
      <c r="N47" s="44" t="str">
        <f t="shared" si="2"/>
        <v>Cr</v>
      </c>
      <c r="O47" s="44"/>
      <c r="Q47" s="20"/>
    </row>
    <row r="48" spans="1:17">
      <c r="A48" s="63" t="s">
        <v>163</v>
      </c>
      <c r="B48" s="44">
        <v>8</v>
      </c>
      <c r="C48" s="44">
        <v>9.4</v>
      </c>
      <c r="D48" s="44">
        <v>3.5</v>
      </c>
      <c r="E48" s="24">
        <f t="shared" si="5"/>
        <v>89.6</v>
      </c>
      <c r="F48" s="24">
        <f t="shared" si="6"/>
        <v>313.59999999999997</v>
      </c>
      <c r="G48" s="24" t="s">
        <v>120</v>
      </c>
      <c r="I48" s="63" t="s">
        <v>163</v>
      </c>
      <c r="J48" s="63"/>
      <c r="K48" s="64"/>
      <c r="L48" s="44">
        <f t="shared" si="3"/>
        <v>5078.9996500000007</v>
      </c>
      <c r="M48" s="71">
        <f t="shared" si="8"/>
        <v>3214.1057999999994</v>
      </c>
      <c r="N48" s="44" t="str">
        <f t="shared" si="2"/>
        <v>Cr</v>
      </c>
      <c r="O48" s="44"/>
      <c r="Q48" s="20"/>
    </row>
    <row r="49" spans="1:15">
      <c r="A49" s="63" t="s">
        <v>164</v>
      </c>
      <c r="B49" s="44">
        <v>5.5</v>
      </c>
      <c r="C49" s="44">
        <v>5.0999999999999996</v>
      </c>
      <c r="D49" s="44">
        <v>2.2999999999999998</v>
      </c>
      <c r="E49" s="24">
        <f t="shared" si="5"/>
        <v>56.15</v>
      </c>
      <c r="F49" s="24">
        <f t="shared" si="6"/>
        <v>129.14499999999998</v>
      </c>
      <c r="G49" s="24" t="s">
        <v>120</v>
      </c>
      <c r="I49" s="63" t="s">
        <v>164</v>
      </c>
      <c r="J49" s="63"/>
      <c r="K49" s="64">
        <v>3300</v>
      </c>
      <c r="L49" s="44">
        <f t="shared" si="3"/>
        <v>5208.1446500000002</v>
      </c>
      <c r="M49" s="71">
        <f>(M48+F49-K49)</f>
        <v>43.250799999999344</v>
      </c>
      <c r="N49" s="44" t="str">
        <f t="shared" si="2"/>
        <v>Cr</v>
      </c>
      <c r="O49" s="44"/>
    </row>
    <row r="50" spans="1:15">
      <c r="A50" s="63" t="s">
        <v>165</v>
      </c>
      <c r="B50" s="44">
        <v>5.0999999999999996</v>
      </c>
      <c r="C50" s="44">
        <v>5.6</v>
      </c>
      <c r="D50" s="44">
        <v>2.2000000000000002</v>
      </c>
      <c r="E50" s="24">
        <f t="shared" si="5"/>
        <v>55.55</v>
      </c>
      <c r="F50" s="24">
        <f t="shared" si="6"/>
        <v>122.21000000000001</v>
      </c>
      <c r="G50" s="24" t="s">
        <v>120</v>
      </c>
      <c r="I50" s="63" t="s">
        <v>165</v>
      </c>
      <c r="J50" s="63"/>
      <c r="K50" s="64"/>
      <c r="L50" s="44">
        <f t="shared" si="3"/>
        <v>5330.3546500000002</v>
      </c>
      <c r="M50" s="71">
        <f t="shared" ref="M50:M53" si="9">(M49+F50-K50)</f>
        <v>165.46079999999935</v>
      </c>
      <c r="N50" s="44" t="str">
        <f t="shared" si="2"/>
        <v>Cr</v>
      </c>
      <c r="O50" s="44"/>
    </row>
    <row r="51" spans="1:15">
      <c r="A51" s="63" t="s">
        <v>166</v>
      </c>
      <c r="B51" s="44">
        <v>4.8</v>
      </c>
      <c r="C51" s="44">
        <v>5.6</v>
      </c>
      <c r="D51" s="44">
        <v>2.4</v>
      </c>
      <c r="E51" s="24">
        <f t="shared" si="5"/>
        <v>53.599999999999994</v>
      </c>
      <c r="F51" s="24">
        <f t="shared" si="6"/>
        <v>128.63999999999999</v>
      </c>
      <c r="G51" s="24" t="s">
        <v>120</v>
      </c>
      <c r="I51" s="63" t="s">
        <v>166</v>
      </c>
      <c r="J51" s="63"/>
      <c r="K51" s="64"/>
      <c r="L51" s="44">
        <f t="shared" si="3"/>
        <v>5458.9946500000005</v>
      </c>
      <c r="M51" s="71">
        <f t="shared" si="9"/>
        <v>294.10079999999937</v>
      </c>
      <c r="N51" s="44" t="str">
        <f t="shared" si="2"/>
        <v>Cr</v>
      </c>
      <c r="O51" s="44"/>
    </row>
    <row r="52" spans="1:15">
      <c r="A52" s="63" t="s">
        <v>167</v>
      </c>
      <c r="B52" s="44">
        <v>5.2</v>
      </c>
      <c r="C52" s="44">
        <v>5.6</v>
      </c>
      <c r="D52" s="44">
        <v>4.2</v>
      </c>
      <c r="E52" s="24">
        <f t="shared" si="5"/>
        <v>56.2</v>
      </c>
      <c r="F52" s="24">
        <f t="shared" si="6"/>
        <v>236.04000000000002</v>
      </c>
      <c r="G52" s="24" t="s">
        <v>120</v>
      </c>
      <c r="I52" s="63" t="s">
        <v>167</v>
      </c>
      <c r="J52" s="63"/>
      <c r="K52" s="64"/>
      <c r="L52" s="44">
        <f t="shared" si="3"/>
        <v>5695.0346500000005</v>
      </c>
      <c r="M52" s="71">
        <f t="shared" si="9"/>
        <v>530.14079999999944</v>
      </c>
      <c r="N52" s="44" t="str">
        <f t="shared" si="2"/>
        <v>Cr</v>
      </c>
      <c r="O52" s="44"/>
    </row>
    <row r="53" spans="1:15">
      <c r="A53" s="63" t="s">
        <v>168</v>
      </c>
      <c r="B53" s="44">
        <v>5.9</v>
      </c>
      <c r="C53" s="44">
        <v>5.8</v>
      </c>
      <c r="D53" s="44">
        <v>4.0999999999999996</v>
      </c>
      <c r="E53" s="24">
        <f t="shared" si="5"/>
        <v>61.55</v>
      </c>
      <c r="F53" s="24">
        <f t="shared" si="6"/>
        <v>252.35499999999996</v>
      </c>
      <c r="G53" s="24" t="s">
        <v>120</v>
      </c>
      <c r="I53" s="63" t="s">
        <v>168</v>
      </c>
      <c r="J53" s="63"/>
      <c r="K53" s="64">
        <v>780</v>
      </c>
      <c r="L53" s="44">
        <f t="shared" si="3"/>
        <v>5947.3896500000001</v>
      </c>
      <c r="M53" s="71">
        <f t="shared" si="9"/>
        <v>2.4957999999994627</v>
      </c>
      <c r="N53" s="44" t="str">
        <f t="shared" si="2"/>
        <v>Cr</v>
      </c>
      <c r="O53" s="44"/>
    </row>
    <row r="54" spans="1:15">
      <c r="A54" s="44" t="s">
        <v>169</v>
      </c>
      <c r="B54" s="44"/>
      <c r="C54" s="44"/>
      <c r="D54" s="44"/>
      <c r="E54" s="44"/>
      <c r="F54" s="44"/>
      <c r="G54" s="44"/>
    </row>
    <row r="55" spans="1:15">
      <c r="A55" s="44" t="s">
        <v>170</v>
      </c>
      <c r="B55" s="44"/>
      <c r="C55" s="44"/>
      <c r="D55" s="44"/>
      <c r="E55" s="44"/>
      <c r="F55" s="44"/>
      <c r="G55" s="44"/>
    </row>
    <row r="56" spans="1:15">
      <c r="A56" s="44" t="s">
        <v>171</v>
      </c>
      <c r="B56" s="44"/>
      <c r="C56" s="44"/>
      <c r="D56" s="44"/>
      <c r="E56" s="44"/>
      <c r="F56" s="44"/>
      <c r="G56" s="44"/>
    </row>
    <row r="57" spans="1:15">
      <c r="A57" s="44" t="s">
        <v>172</v>
      </c>
      <c r="B57" s="44"/>
      <c r="C57" s="44"/>
      <c r="D57" s="44"/>
      <c r="E57" s="44"/>
      <c r="F57" s="44"/>
      <c r="G57" s="44"/>
    </row>
    <row r="58" spans="1:15">
      <c r="A58" s="44" t="s">
        <v>173</v>
      </c>
      <c r="B58" s="44"/>
      <c r="C58" s="44"/>
      <c r="D58" s="44"/>
      <c r="E58" s="44"/>
      <c r="F58" s="44"/>
      <c r="G58" s="44"/>
    </row>
    <row r="59" spans="1:15">
      <c r="A59" s="44" t="s">
        <v>174</v>
      </c>
      <c r="B59" s="44"/>
      <c r="C59" s="44"/>
      <c r="D59" s="44"/>
      <c r="E59" s="44"/>
      <c r="F59" s="44"/>
      <c r="G59" s="44"/>
    </row>
    <row r="60" spans="1:15">
      <c r="A60" s="44" t="s">
        <v>175</v>
      </c>
      <c r="B60" s="44"/>
      <c r="C60" s="44"/>
      <c r="D60" s="44"/>
      <c r="E60" s="44"/>
      <c r="F60" s="44"/>
      <c r="G60" s="44"/>
    </row>
    <row r="61" spans="1:15">
      <c r="A61" s="44" t="s">
        <v>176</v>
      </c>
      <c r="B61" s="44"/>
      <c r="C61" s="44"/>
      <c r="D61" s="44"/>
      <c r="E61" s="44"/>
      <c r="F61" s="44"/>
      <c r="G61" s="44"/>
    </row>
    <row r="62" spans="1:15">
      <c r="A62" s="44" t="s">
        <v>177</v>
      </c>
      <c r="B62" s="44"/>
      <c r="C62" s="44"/>
      <c r="D62" s="44"/>
      <c r="E62" s="44"/>
      <c r="F62" s="44"/>
      <c r="G62" s="44"/>
    </row>
    <row r="63" spans="1:15">
      <c r="A63" s="44" t="s">
        <v>178</v>
      </c>
      <c r="B63" s="44"/>
      <c r="C63" s="44"/>
      <c r="D63" s="44"/>
      <c r="E63" s="44"/>
      <c r="F63" s="44"/>
      <c r="G63" s="44"/>
    </row>
    <row r="64" spans="1:15">
      <c r="A64" s="44" t="s">
        <v>179</v>
      </c>
      <c r="B64" s="44"/>
      <c r="C64" s="44"/>
      <c r="D64" s="44"/>
      <c r="E64" s="44"/>
      <c r="F64" s="44"/>
      <c r="G64" s="44"/>
    </row>
    <row r="65" spans="1:7">
      <c r="A65" s="44" t="s">
        <v>180</v>
      </c>
      <c r="B65" s="44"/>
      <c r="C65" s="44"/>
      <c r="D65" s="44"/>
      <c r="E65" s="44"/>
      <c r="F65" s="44"/>
      <c r="G65" s="44"/>
    </row>
    <row r="66" spans="1:7">
      <c r="A66" s="44" t="s">
        <v>181</v>
      </c>
      <c r="B66" s="44"/>
      <c r="C66" s="44"/>
      <c r="D66" s="44"/>
      <c r="E66" s="44"/>
      <c r="F66" s="44"/>
      <c r="G66" s="44"/>
    </row>
    <row r="67" spans="1:7">
      <c r="A67" s="44" t="s">
        <v>182</v>
      </c>
      <c r="B67" s="44"/>
      <c r="C67" s="44"/>
      <c r="D67" s="44"/>
      <c r="E67" s="44"/>
      <c r="F67" s="44"/>
      <c r="G67" s="44"/>
    </row>
    <row r="68" spans="1:7">
      <c r="A68" s="44" t="s">
        <v>183</v>
      </c>
      <c r="B68" s="44"/>
      <c r="C68" s="44"/>
      <c r="D68" s="44"/>
      <c r="E68" s="44"/>
      <c r="F68" s="44"/>
      <c r="G68" s="44"/>
    </row>
    <row r="69" spans="1:7">
      <c r="A69" s="44" t="s">
        <v>184</v>
      </c>
      <c r="B69" s="44"/>
      <c r="C69" s="44"/>
      <c r="D69" s="44"/>
      <c r="E69" s="44"/>
      <c r="F69" s="44"/>
      <c r="G69" s="44"/>
    </row>
    <row r="70" spans="1:7">
      <c r="A70" s="44" t="s">
        <v>185</v>
      </c>
      <c r="B70" s="44"/>
      <c r="C70" s="44"/>
      <c r="D70" s="44"/>
      <c r="E70" s="44"/>
      <c r="F70" s="44"/>
      <c r="G70" s="44"/>
    </row>
    <row r="71" spans="1:7">
      <c r="A71" s="44" t="s">
        <v>186</v>
      </c>
      <c r="B71" s="44"/>
      <c r="C71" s="44"/>
      <c r="D71" s="44"/>
      <c r="E71" s="44"/>
      <c r="F71" s="44"/>
      <c r="G71" s="44"/>
    </row>
    <row r="72" spans="1:7">
      <c r="A72" s="44" t="s">
        <v>187</v>
      </c>
      <c r="B72" s="44"/>
      <c r="C72" s="44"/>
      <c r="D72" s="44"/>
      <c r="E72" s="44"/>
      <c r="F72" s="44"/>
      <c r="G72" s="44"/>
    </row>
    <row r="73" spans="1:7">
      <c r="A73" s="44" t="s">
        <v>188</v>
      </c>
      <c r="B73" s="44"/>
      <c r="C73" s="44"/>
      <c r="D73" s="44"/>
      <c r="E73" s="44"/>
      <c r="F73" s="44"/>
      <c r="G73" s="44"/>
    </row>
    <row r="74" spans="1:7">
      <c r="A74" s="44" t="s">
        <v>189</v>
      </c>
      <c r="B74" s="44"/>
      <c r="C74" s="44"/>
      <c r="D74" s="44"/>
      <c r="E74" s="44"/>
      <c r="F74" s="44"/>
      <c r="G74" s="44"/>
    </row>
    <row r="75" spans="1:7">
      <c r="A75" s="44" t="s">
        <v>190</v>
      </c>
      <c r="B75" s="44"/>
      <c r="C75" s="44"/>
      <c r="D75" s="44"/>
      <c r="E75" s="44"/>
      <c r="F75" s="44"/>
      <c r="G75" s="44"/>
    </row>
    <row r="76" spans="1:7">
      <c r="A76" s="44" t="s">
        <v>191</v>
      </c>
      <c r="B76" s="44"/>
      <c r="C76" s="44"/>
      <c r="D76" s="44"/>
      <c r="E76" s="44"/>
      <c r="F76" s="44"/>
      <c r="G76" s="44"/>
    </row>
    <row r="77" spans="1:7">
      <c r="A77" s="44" t="s">
        <v>192</v>
      </c>
      <c r="B77" s="44"/>
      <c r="C77" s="44"/>
      <c r="D77" s="44"/>
      <c r="E77" s="44"/>
      <c r="F77" s="44"/>
      <c r="G77" s="44"/>
    </row>
    <row r="78" spans="1:7">
      <c r="A78" s="44" t="s">
        <v>193</v>
      </c>
      <c r="B78" s="44"/>
      <c r="C78" s="44"/>
      <c r="D78" s="44"/>
      <c r="E78" s="44"/>
      <c r="F78" s="44"/>
      <c r="G78" s="44"/>
    </row>
    <row r="79" spans="1:7">
      <c r="A79" s="44" t="s">
        <v>194</v>
      </c>
      <c r="B79" s="44"/>
      <c r="C79" s="44"/>
      <c r="D79" s="44"/>
      <c r="E79" s="44"/>
      <c r="F79" s="44"/>
      <c r="G79" s="44"/>
    </row>
    <row r="80" spans="1:7">
      <c r="A80" s="44" t="s">
        <v>195</v>
      </c>
      <c r="B80" s="44"/>
      <c r="C80" s="44"/>
      <c r="D80" s="44"/>
      <c r="E80" s="44"/>
      <c r="F80" s="44"/>
      <c r="G80" s="44"/>
    </row>
    <row r="81" spans="1:7">
      <c r="A81" s="44" t="s">
        <v>196</v>
      </c>
      <c r="B81" s="44"/>
      <c r="C81" s="44"/>
      <c r="D81" s="44"/>
      <c r="E81" s="44"/>
      <c r="F81" s="44"/>
      <c r="G81" s="44"/>
    </row>
    <row r="82" spans="1:7">
      <c r="A82" s="44" t="s">
        <v>197</v>
      </c>
      <c r="B82" s="44"/>
      <c r="C82" s="44"/>
      <c r="D82" s="44"/>
      <c r="E82" s="44"/>
      <c r="F82" s="44"/>
      <c r="G82" s="44"/>
    </row>
    <row r="83" spans="1:7">
      <c r="A83" s="44"/>
      <c r="B83" s="44"/>
      <c r="C83" s="44"/>
      <c r="D83" s="44"/>
      <c r="E83" s="44"/>
      <c r="F83" s="44"/>
      <c r="G83" s="44"/>
    </row>
    <row r="84" spans="1:7">
      <c r="A84" s="44"/>
      <c r="B84" s="44"/>
      <c r="C84" s="44"/>
      <c r="D84" s="44"/>
      <c r="E84" s="44"/>
      <c r="F84" s="44"/>
      <c r="G84" s="44"/>
    </row>
    <row r="85" spans="1:7">
      <c r="A85" s="44"/>
      <c r="B85" s="44"/>
      <c r="C85" s="44"/>
      <c r="D85" s="44"/>
      <c r="E85" s="44"/>
      <c r="F85" s="44"/>
      <c r="G85" s="44"/>
    </row>
    <row r="86" spans="1:7">
      <c r="A86" s="44"/>
      <c r="B86" s="44"/>
      <c r="C86" s="44"/>
      <c r="D86" s="44"/>
      <c r="E86" s="44"/>
      <c r="F86" s="44"/>
      <c r="G86" s="44"/>
    </row>
    <row r="87" spans="1:7">
      <c r="A87" s="44"/>
      <c r="B87" s="44"/>
      <c r="C87" s="44"/>
      <c r="D87" s="44"/>
      <c r="E87" s="44"/>
      <c r="F87" s="44"/>
      <c r="G87" s="44"/>
    </row>
    <row r="88" spans="1:7">
      <c r="A88" s="44"/>
      <c r="B88" s="44"/>
      <c r="C88" s="44"/>
      <c r="D88" s="44"/>
      <c r="E88" s="44"/>
      <c r="F88" s="44"/>
      <c r="G88" s="44"/>
    </row>
    <row r="89" spans="1:7">
      <c r="A89" s="44"/>
      <c r="B89" s="44"/>
      <c r="C89" s="44"/>
      <c r="D89" s="44"/>
      <c r="E89" s="44"/>
      <c r="F89" s="44"/>
      <c r="G89" s="44"/>
    </row>
    <row r="90" spans="1:7">
      <c r="A90" s="44"/>
      <c r="B90" s="44"/>
      <c r="C90" s="44"/>
      <c r="D90" s="44"/>
      <c r="E90" s="44"/>
      <c r="F90" s="44"/>
      <c r="G90" s="44"/>
    </row>
    <row r="91" spans="1:7">
      <c r="A91" s="44"/>
      <c r="B91" s="44"/>
      <c r="C91" s="44"/>
      <c r="D91" s="44"/>
      <c r="E91" s="44"/>
      <c r="F91" s="44"/>
      <c r="G91" s="44"/>
    </row>
    <row r="92" spans="1:7">
      <c r="A92" s="44"/>
      <c r="B92" s="44"/>
      <c r="C92" s="44"/>
      <c r="D92" s="44"/>
      <c r="E92" s="44"/>
      <c r="F92" s="44"/>
      <c r="G92" s="44"/>
    </row>
    <row r="93" spans="1:7">
      <c r="A93" s="44"/>
      <c r="B93" s="44"/>
      <c r="C93" s="44"/>
      <c r="D93" s="44"/>
      <c r="E93" s="44"/>
      <c r="F93" s="44"/>
      <c r="G93" s="44"/>
    </row>
    <row r="94" spans="1:7">
      <c r="A94" s="44"/>
      <c r="B94" s="44"/>
      <c r="C94" s="44"/>
      <c r="D94" s="44"/>
      <c r="E94" s="44"/>
      <c r="F94" s="44"/>
      <c r="G94" s="44"/>
    </row>
    <row r="95" spans="1:7">
      <c r="A95" s="44"/>
      <c r="B95" s="44"/>
      <c r="C95" s="44"/>
      <c r="D95" s="44"/>
      <c r="E95" s="44"/>
      <c r="F95" s="44"/>
      <c r="G95" s="44"/>
    </row>
    <row r="96" spans="1:7">
      <c r="A96" s="44"/>
      <c r="B96" s="44"/>
      <c r="C96" s="44"/>
      <c r="D96" s="44"/>
      <c r="E96" s="44"/>
      <c r="F96" s="44"/>
      <c r="G96" s="44"/>
    </row>
    <row r="97" spans="1:7">
      <c r="A97" s="44"/>
      <c r="B97" s="44"/>
      <c r="C97" s="44"/>
      <c r="D97" s="44"/>
      <c r="E97" s="44"/>
      <c r="F97" s="44"/>
      <c r="G97" s="44"/>
    </row>
    <row r="98" spans="1:7">
      <c r="A98" s="44"/>
      <c r="B98" s="44"/>
      <c r="C98" s="44"/>
      <c r="D98" s="44"/>
      <c r="E98" s="44"/>
      <c r="F98" s="44"/>
      <c r="G98" s="44"/>
    </row>
    <row r="99" spans="1:7">
      <c r="A99" s="44"/>
      <c r="B99" s="44"/>
      <c r="C99" s="44"/>
      <c r="D99" s="44"/>
      <c r="E99" s="44"/>
      <c r="F99" s="44"/>
      <c r="G99" s="44"/>
    </row>
    <row r="100" spans="1:7">
      <c r="A100" s="44"/>
      <c r="B100" s="44"/>
      <c r="C100" s="44"/>
      <c r="D100" s="44"/>
      <c r="E100" s="44"/>
      <c r="F100" s="44"/>
      <c r="G100" s="44"/>
    </row>
    <row r="101" spans="1:7">
      <c r="A101" s="44"/>
      <c r="B101" s="44"/>
      <c r="C101" s="44"/>
      <c r="D101" s="44"/>
      <c r="E101" s="44"/>
      <c r="F101" s="44"/>
      <c r="G101" s="44"/>
    </row>
    <row r="102" spans="1:7">
      <c r="A102" s="44"/>
      <c r="B102" s="44"/>
      <c r="C102" s="44"/>
      <c r="D102" s="44"/>
      <c r="E102" s="44"/>
      <c r="F102" s="44"/>
      <c r="G102" s="44"/>
    </row>
    <row r="103" spans="1:7">
      <c r="A103" s="44"/>
      <c r="B103" s="44"/>
      <c r="C103" s="44"/>
      <c r="D103" s="44"/>
      <c r="E103" s="44"/>
      <c r="F103" s="44"/>
      <c r="G103" s="44"/>
    </row>
    <row r="104" spans="1:7">
      <c r="A104" s="44"/>
      <c r="B104" s="44"/>
      <c r="C104" s="44"/>
      <c r="D104" s="44"/>
      <c r="E104" s="44"/>
      <c r="F104" s="44"/>
      <c r="G104" s="44"/>
    </row>
    <row r="105" spans="1:7">
      <c r="A105" s="44"/>
      <c r="B105" s="44"/>
      <c r="C105" s="44"/>
      <c r="D105" s="44"/>
      <c r="E105" s="44"/>
      <c r="F105" s="44"/>
      <c r="G105" s="44"/>
    </row>
    <row r="106" spans="1:7">
      <c r="A106" s="44"/>
      <c r="B106" s="44"/>
      <c r="C106" s="44"/>
      <c r="D106" s="44"/>
      <c r="E106" s="44"/>
      <c r="F106" s="44"/>
      <c r="G106" s="44"/>
    </row>
    <row r="107" spans="1:7">
      <c r="A107" s="44"/>
      <c r="B107" s="44"/>
      <c r="C107" s="44"/>
      <c r="D107" s="44"/>
      <c r="E107" s="44"/>
      <c r="F107" s="44"/>
      <c r="G107" s="44"/>
    </row>
    <row r="108" spans="1:7">
      <c r="A108" s="44"/>
      <c r="B108" s="44"/>
      <c r="C108" s="44"/>
      <c r="D108" s="44"/>
      <c r="E108" s="44"/>
      <c r="F108" s="44"/>
      <c r="G108" s="44"/>
    </row>
    <row r="109" spans="1:7">
      <c r="A109" s="44"/>
      <c r="B109" s="44"/>
      <c r="C109" s="44"/>
      <c r="D109" s="44"/>
      <c r="E109" s="44"/>
      <c r="F109" s="44"/>
      <c r="G109" s="44"/>
    </row>
    <row r="110" spans="1:7">
      <c r="A110" s="44"/>
      <c r="B110" s="44"/>
      <c r="C110" s="44"/>
      <c r="D110" s="44"/>
      <c r="E110" s="44"/>
      <c r="F110" s="44"/>
      <c r="G110" s="44"/>
    </row>
    <row r="111" spans="1:7">
      <c r="A111" s="44"/>
      <c r="B111" s="44"/>
      <c r="C111" s="44"/>
      <c r="D111" s="44"/>
      <c r="E111" s="44"/>
      <c r="F111" s="44"/>
      <c r="G111" s="44"/>
    </row>
    <row r="112" spans="1:7">
      <c r="A112" s="44"/>
      <c r="B112" s="44"/>
      <c r="C112" s="44"/>
      <c r="D112" s="44"/>
      <c r="E112" s="44"/>
      <c r="F112" s="44"/>
      <c r="G112" s="44"/>
    </row>
    <row r="113" spans="1:7">
      <c r="A113" s="44"/>
      <c r="B113" s="44"/>
      <c r="C113" s="44"/>
      <c r="D113" s="44"/>
      <c r="E113" s="44"/>
      <c r="F113" s="44"/>
      <c r="G113" s="44"/>
    </row>
    <row r="114" spans="1:7">
      <c r="A114" s="44"/>
      <c r="B114" s="44"/>
      <c r="C114" s="44"/>
      <c r="D114" s="44"/>
      <c r="E114" s="44"/>
      <c r="F114" s="44"/>
      <c r="G114" s="44"/>
    </row>
    <row r="115" spans="1:7">
      <c r="A115" s="44"/>
      <c r="B115" s="44"/>
      <c r="C115" s="44"/>
      <c r="D115" s="44"/>
      <c r="E115" s="44"/>
      <c r="F115" s="44"/>
      <c r="G115" s="44"/>
    </row>
    <row r="116" spans="1:7">
      <c r="A116" s="44"/>
      <c r="B116" s="44"/>
      <c r="C116" s="44"/>
      <c r="D116" s="44"/>
      <c r="E116" s="44"/>
      <c r="F116" s="44"/>
      <c r="G116" s="44"/>
    </row>
    <row r="117" spans="1:7">
      <c r="A117" s="44"/>
      <c r="B117" s="44"/>
      <c r="C117" s="44"/>
      <c r="D117" s="44"/>
      <c r="E117" s="44"/>
      <c r="F117" s="44"/>
      <c r="G117" s="44"/>
    </row>
    <row r="118" spans="1:7">
      <c r="A118" s="44"/>
      <c r="B118" s="44"/>
      <c r="C118" s="44"/>
      <c r="D118" s="44"/>
      <c r="E118" s="44"/>
      <c r="F118" s="44"/>
      <c r="G118" s="44"/>
    </row>
    <row r="119" spans="1:7">
      <c r="A119" s="44"/>
      <c r="B119" s="44"/>
      <c r="C119" s="44"/>
      <c r="D119" s="44"/>
      <c r="E119" s="44"/>
      <c r="F119" s="44"/>
      <c r="G119" s="44"/>
    </row>
    <row r="120" spans="1:7">
      <c r="A120" s="44"/>
      <c r="B120" s="44"/>
      <c r="C120" s="44"/>
      <c r="D120" s="44"/>
      <c r="E120" s="44"/>
      <c r="F120" s="44"/>
      <c r="G120" s="44"/>
    </row>
    <row r="121" spans="1:7">
      <c r="A121" s="44"/>
      <c r="B121" s="44"/>
      <c r="C121" s="44"/>
      <c r="D121" s="44"/>
      <c r="E121" s="44"/>
      <c r="F121" s="44"/>
      <c r="G121" s="44"/>
    </row>
    <row r="122" spans="1:7">
      <c r="A122" s="44"/>
      <c r="B122" s="44"/>
      <c r="C122" s="44"/>
      <c r="D122" s="44"/>
      <c r="E122" s="44"/>
      <c r="F122" s="44"/>
      <c r="G122" s="44"/>
    </row>
    <row r="123" spans="1:7">
      <c r="A123" s="44"/>
      <c r="B123" s="44"/>
      <c r="C123" s="44"/>
      <c r="D123" s="44"/>
      <c r="E123" s="44"/>
      <c r="F123" s="44"/>
      <c r="G123" s="44"/>
    </row>
    <row r="124" spans="1:7">
      <c r="A124" s="44"/>
      <c r="B124" s="44"/>
      <c r="C124" s="44"/>
      <c r="D124" s="44"/>
      <c r="E124" s="44"/>
      <c r="F124" s="44"/>
      <c r="G124" s="44"/>
    </row>
    <row r="125" spans="1:7">
      <c r="A125" s="44"/>
      <c r="B125" s="44"/>
      <c r="C125" s="44"/>
      <c r="D125" s="44"/>
      <c r="E125" s="44"/>
      <c r="F125" s="44"/>
      <c r="G125" s="44"/>
    </row>
    <row r="126" spans="1:7">
      <c r="A126" s="44"/>
      <c r="B126" s="44"/>
      <c r="C126" s="44"/>
      <c r="D126" s="44"/>
      <c r="E126" s="44"/>
      <c r="F126" s="44"/>
      <c r="G126" s="44"/>
    </row>
    <row r="127" spans="1:7">
      <c r="A127" s="44"/>
      <c r="B127" s="44"/>
      <c r="C127" s="44"/>
      <c r="D127" s="44"/>
      <c r="E127" s="44"/>
      <c r="F127" s="44"/>
      <c r="G127" s="44"/>
    </row>
    <row r="128" spans="1:7">
      <c r="A128" s="44"/>
      <c r="B128" s="44"/>
      <c r="C128" s="44"/>
      <c r="D128" s="44"/>
      <c r="E128" s="44"/>
      <c r="F128" s="44"/>
      <c r="G128" s="44"/>
    </row>
    <row r="129" spans="1:7">
      <c r="A129" s="44"/>
      <c r="B129" s="44"/>
      <c r="C129" s="44"/>
      <c r="D129" s="44"/>
      <c r="E129" s="44"/>
      <c r="F129" s="44"/>
      <c r="G129" s="44"/>
    </row>
    <row r="130" spans="1:7">
      <c r="A130" s="44"/>
      <c r="B130" s="44"/>
      <c r="C130" s="44"/>
      <c r="D130" s="44"/>
      <c r="E130" s="44"/>
      <c r="F130" s="44"/>
      <c r="G130" s="44"/>
    </row>
    <row r="131" spans="1:7">
      <c r="A131" s="44"/>
      <c r="B131" s="44"/>
      <c r="C131" s="44"/>
      <c r="D131" s="44"/>
      <c r="E131" s="44"/>
      <c r="F131" s="44"/>
      <c r="G131" s="44"/>
    </row>
    <row r="132" spans="1:7">
      <c r="A132" s="44"/>
      <c r="B132" s="44"/>
      <c r="C132" s="44"/>
      <c r="D132" s="44"/>
      <c r="E132" s="44"/>
      <c r="F132" s="44"/>
      <c r="G132" s="44"/>
    </row>
    <row r="133" spans="1:7">
      <c r="A133" s="44"/>
      <c r="B133" s="44"/>
      <c r="C133" s="44"/>
      <c r="D133" s="44"/>
      <c r="E133" s="44"/>
      <c r="F133" s="44"/>
      <c r="G133" s="44"/>
    </row>
    <row r="134" spans="1:7">
      <c r="A134" s="44"/>
      <c r="B134" s="44"/>
      <c r="C134" s="44"/>
      <c r="D134" s="44"/>
      <c r="E134" s="44"/>
      <c r="F134" s="44"/>
      <c r="G134" s="44"/>
    </row>
    <row r="135" spans="1:7">
      <c r="A135" s="44"/>
      <c r="B135" s="44"/>
      <c r="C135" s="44"/>
      <c r="D135" s="44"/>
      <c r="E135" s="44"/>
      <c r="F135" s="44"/>
      <c r="G135" s="44"/>
    </row>
    <row r="136" spans="1:7">
      <c r="A136" s="44"/>
      <c r="B136" s="44"/>
      <c r="C136" s="44"/>
      <c r="D136" s="44"/>
      <c r="E136" s="44"/>
      <c r="F136" s="44"/>
      <c r="G136" s="44"/>
    </row>
    <row r="137" spans="1:7">
      <c r="A137" s="44"/>
      <c r="B137" s="44"/>
      <c r="C137" s="44"/>
      <c r="D137" s="44"/>
      <c r="E137" s="44"/>
      <c r="F137" s="44"/>
      <c r="G137" s="44"/>
    </row>
    <row r="138" spans="1:7">
      <c r="A138" s="44"/>
      <c r="B138" s="44"/>
      <c r="C138" s="44"/>
      <c r="D138" s="44"/>
      <c r="E138" s="44"/>
      <c r="F138" s="44"/>
      <c r="G138" s="44"/>
    </row>
    <row r="139" spans="1:7">
      <c r="A139" s="44"/>
      <c r="B139" s="44"/>
      <c r="C139" s="44"/>
      <c r="D139" s="44"/>
      <c r="E139" s="44"/>
      <c r="F139" s="44"/>
      <c r="G139" s="44"/>
    </row>
    <row r="140" spans="1:7">
      <c r="A140" s="44"/>
      <c r="B140" s="44"/>
      <c r="C140" s="44"/>
      <c r="D140" s="44"/>
      <c r="E140" s="44"/>
      <c r="F140" s="44"/>
      <c r="G140" s="44"/>
    </row>
    <row r="141" spans="1:7">
      <c r="A141" s="44"/>
      <c r="B141" s="44"/>
      <c r="C141" s="44"/>
      <c r="D141" s="44"/>
      <c r="E141" s="44"/>
      <c r="F141" s="44"/>
      <c r="G141" s="44"/>
    </row>
    <row r="142" spans="1:7">
      <c r="A142" s="44"/>
      <c r="B142" s="44"/>
      <c r="C142" s="44"/>
      <c r="D142" s="44"/>
      <c r="E142" s="44"/>
      <c r="F142" s="44"/>
      <c r="G142" s="44"/>
    </row>
    <row r="143" spans="1:7">
      <c r="A143" s="44"/>
      <c r="B143" s="44"/>
      <c r="C143" s="44"/>
      <c r="D143" s="44"/>
      <c r="E143" s="44"/>
      <c r="F143" s="44"/>
      <c r="G143" s="44"/>
    </row>
    <row r="144" spans="1:7">
      <c r="A144" s="44"/>
      <c r="B144" s="44"/>
      <c r="C144" s="44"/>
      <c r="D144" s="44"/>
      <c r="E144" s="44"/>
      <c r="F144" s="44"/>
      <c r="G144" s="44"/>
    </row>
    <row r="145" spans="1:7">
      <c r="A145" s="44"/>
      <c r="B145" s="44"/>
      <c r="C145" s="44"/>
      <c r="D145" s="44"/>
      <c r="E145" s="44"/>
      <c r="F145" s="44"/>
      <c r="G145" s="44"/>
    </row>
    <row r="146" spans="1:7">
      <c r="A146" s="44"/>
      <c r="B146" s="44"/>
      <c r="C146" s="44"/>
      <c r="D146" s="44"/>
      <c r="E146" s="44"/>
      <c r="F146" s="44"/>
      <c r="G146" s="44"/>
    </row>
    <row r="147" spans="1:7">
      <c r="A147" s="44"/>
      <c r="B147" s="44"/>
      <c r="C147" s="44"/>
      <c r="D147" s="44"/>
      <c r="E147" s="44"/>
      <c r="F147" s="44"/>
      <c r="G147" s="44"/>
    </row>
    <row r="148" spans="1:7">
      <c r="A148" s="44"/>
      <c r="B148" s="44"/>
      <c r="C148" s="44"/>
      <c r="D148" s="44"/>
      <c r="E148" s="44"/>
      <c r="F148" s="44"/>
      <c r="G148" s="44"/>
    </row>
    <row r="149" spans="1:7">
      <c r="A149" s="44"/>
      <c r="B149" s="44"/>
      <c r="C149" s="44"/>
      <c r="D149" s="44"/>
      <c r="E149" s="44"/>
      <c r="F149" s="44"/>
      <c r="G149" s="44"/>
    </row>
    <row r="150" spans="1:7">
      <c r="A150" s="44"/>
      <c r="B150" s="44"/>
      <c r="C150" s="44"/>
      <c r="D150" s="44"/>
      <c r="E150" s="44"/>
      <c r="F150" s="44"/>
      <c r="G150" s="44"/>
    </row>
    <row r="151" spans="1:7">
      <c r="A151" s="44"/>
      <c r="B151" s="44"/>
      <c r="C151" s="44"/>
      <c r="D151" s="44"/>
      <c r="E151" s="44"/>
      <c r="F151" s="44"/>
      <c r="G151" s="44"/>
    </row>
    <row r="152" spans="1:7">
      <c r="A152" s="44"/>
      <c r="B152" s="44"/>
      <c r="C152" s="44"/>
      <c r="D152" s="44"/>
      <c r="E152" s="44"/>
      <c r="F152" s="44"/>
      <c r="G152" s="44"/>
    </row>
    <row r="153" spans="1:7">
      <c r="A153" s="81" t="s">
        <v>6</v>
      </c>
      <c r="B153" s="44"/>
      <c r="C153" s="44"/>
      <c r="D153" s="44"/>
      <c r="E153" s="44"/>
      <c r="F153" s="44"/>
      <c r="G153" s="44"/>
    </row>
  </sheetData>
  <mergeCells count="1">
    <mergeCell ref="B2:G2"/>
  </mergeCells>
  <hyperlinks>
    <hyperlink ref="F5" location="'Customer Index'!A8" display="Customer Code"/>
    <hyperlink ref="G5" location="'Customer Index'!A8" display="Bas01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3"/>
  <sheetViews>
    <sheetView topLeftCell="C1" zoomScale="89" zoomScaleNormal="8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4" width="9.109375" customWidth="1"/>
    <col min="5" max="5" width="9" customWidth="1"/>
    <col min="6" max="6" width="14.5546875" bestFit="1" customWidth="1"/>
    <col min="7" max="7" width="11" bestFit="1" customWidth="1"/>
  </cols>
  <sheetData>
    <row r="2" spans="1:16" ht="28.8">
      <c r="B2" s="203" t="s">
        <v>103</v>
      </c>
      <c r="C2" s="203"/>
      <c r="D2" s="203"/>
      <c r="E2" s="203"/>
      <c r="F2" s="203"/>
      <c r="G2" s="203"/>
      <c r="M2" s="49" t="s">
        <v>104</v>
      </c>
    </row>
    <row r="3" spans="1:16">
      <c r="A3" s="50" t="s">
        <v>198</v>
      </c>
      <c r="B3" s="51"/>
      <c r="C3" s="51"/>
      <c r="D3" s="51"/>
      <c r="F3" s="52" t="s">
        <v>106</v>
      </c>
      <c r="G3" s="53">
        <v>9845414422</v>
      </c>
      <c r="H3" s="54"/>
    </row>
    <row r="5" spans="1:16">
      <c r="A5" s="50" t="s">
        <v>199</v>
      </c>
      <c r="B5" s="51"/>
      <c r="C5" s="51"/>
      <c r="D5" s="51"/>
      <c r="E5" s="51"/>
      <c r="F5" s="21" t="s">
        <v>18</v>
      </c>
      <c r="G5" s="27" t="s">
        <v>26</v>
      </c>
      <c r="M5" s="56"/>
    </row>
    <row r="7" spans="1:16" ht="18">
      <c r="A7" s="82" t="s">
        <v>109</v>
      </c>
      <c r="B7" s="82" t="s">
        <v>7</v>
      </c>
      <c r="C7" s="82" t="s">
        <v>8</v>
      </c>
      <c r="D7" s="82" t="s">
        <v>111</v>
      </c>
      <c r="E7" s="82" t="s">
        <v>110</v>
      </c>
      <c r="F7" s="82" t="s">
        <v>9</v>
      </c>
      <c r="G7" s="82" t="s">
        <v>112</v>
      </c>
      <c r="H7" s="58"/>
      <c r="I7" s="190" t="s">
        <v>109</v>
      </c>
      <c r="J7" s="82" t="s">
        <v>113</v>
      </c>
      <c r="K7" s="61" t="s">
        <v>114</v>
      </c>
      <c r="L7" s="60" t="s">
        <v>115</v>
      </c>
      <c r="M7" s="60" t="s">
        <v>116</v>
      </c>
      <c r="N7" s="60" t="s">
        <v>117</v>
      </c>
      <c r="O7" s="60" t="s">
        <v>110</v>
      </c>
      <c r="P7" s="60" t="s">
        <v>118</v>
      </c>
    </row>
    <row r="8" spans="1:16" ht="18">
      <c r="A8" s="62" t="s">
        <v>119</v>
      </c>
      <c r="B8" s="24">
        <v>0</v>
      </c>
      <c r="C8" s="24">
        <v>0</v>
      </c>
      <c r="D8" s="24">
        <f t="shared" ref="D8:D13" si="0">(B8*6.5+C8*4)</f>
        <v>0</v>
      </c>
      <c r="E8" s="24">
        <v>0</v>
      </c>
      <c r="F8" s="24">
        <f t="shared" ref="F8:F46" si="1">(B8*6.5+C8*4)*E8</f>
        <v>0</v>
      </c>
      <c r="G8" s="24" t="s">
        <v>120</v>
      </c>
      <c r="H8" s="20"/>
      <c r="I8" s="157" t="s">
        <v>119</v>
      </c>
      <c r="J8" s="62"/>
      <c r="K8" s="64"/>
      <c r="L8" s="65">
        <f>(F8)</f>
        <v>0</v>
      </c>
      <c r="M8" s="44">
        <f>(L8-K8)</f>
        <v>0</v>
      </c>
      <c r="N8" s="44"/>
      <c r="O8" s="44"/>
      <c r="P8" s="44"/>
    </row>
    <row r="9" spans="1:16">
      <c r="A9" s="62" t="s">
        <v>121</v>
      </c>
      <c r="B9" s="24">
        <v>0</v>
      </c>
      <c r="C9" s="24">
        <v>0</v>
      </c>
      <c r="D9" s="24">
        <f t="shared" si="0"/>
        <v>0</v>
      </c>
      <c r="E9" s="24">
        <v>0</v>
      </c>
      <c r="F9" s="24">
        <f t="shared" si="1"/>
        <v>0</v>
      </c>
      <c r="G9" s="24" t="s">
        <v>120</v>
      </c>
      <c r="H9" s="20"/>
      <c r="I9" s="157" t="s">
        <v>121</v>
      </c>
      <c r="J9" s="62"/>
      <c r="K9" s="64"/>
      <c r="L9" s="44">
        <f>(L8+F9)</f>
        <v>0</v>
      </c>
      <c r="M9" s="44">
        <f>(M8+F9-K9)</f>
        <v>0</v>
      </c>
      <c r="N9" s="44"/>
      <c r="O9" s="44"/>
      <c r="P9" s="44"/>
    </row>
    <row r="10" spans="1:16">
      <c r="A10" s="62" t="s">
        <v>122</v>
      </c>
      <c r="B10" s="24">
        <v>6.25</v>
      </c>
      <c r="C10" s="24">
        <v>9.6</v>
      </c>
      <c r="D10" s="24">
        <f t="shared" si="0"/>
        <v>79.025000000000006</v>
      </c>
      <c r="E10" s="24">
        <v>4.4400000000000004</v>
      </c>
      <c r="F10" s="24">
        <f t="shared" si="1"/>
        <v>350.87100000000004</v>
      </c>
      <c r="G10" s="24" t="s">
        <v>120</v>
      </c>
      <c r="H10" s="20"/>
      <c r="I10" s="157" t="s">
        <v>122</v>
      </c>
      <c r="J10" s="62"/>
      <c r="K10" s="64"/>
      <c r="L10" s="44">
        <f t="shared" ref="L10:L53" si="2">(L9+F10)</f>
        <v>350.87100000000004</v>
      </c>
      <c r="M10" s="44">
        <f t="shared" ref="M10:M53" si="3">(M9+F10-K10)</f>
        <v>350.87100000000004</v>
      </c>
      <c r="N10" s="44"/>
      <c r="O10" s="44"/>
      <c r="P10" s="44"/>
    </row>
    <row r="11" spans="1:16">
      <c r="A11" s="62" t="s">
        <v>123</v>
      </c>
      <c r="B11" s="24">
        <v>6.32</v>
      </c>
      <c r="C11" s="24">
        <v>9.08</v>
      </c>
      <c r="D11" s="24">
        <f t="shared" si="0"/>
        <v>77.400000000000006</v>
      </c>
      <c r="E11" s="24">
        <v>4.46</v>
      </c>
      <c r="F11" s="24">
        <f t="shared" si="1"/>
        <v>345.20400000000001</v>
      </c>
      <c r="G11" s="24" t="s">
        <v>120</v>
      </c>
      <c r="H11" s="20"/>
      <c r="I11" s="157" t="s">
        <v>123</v>
      </c>
      <c r="J11" s="62"/>
      <c r="K11" s="64"/>
      <c r="L11" s="44">
        <f t="shared" si="2"/>
        <v>696.07500000000005</v>
      </c>
      <c r="M11" s="44">
        <f t="shared" si="3"/>
        <v>696.07500000000005</v>
      </c>
      <c r="N11" s="44"/>
      <c r="O11" s="44"/>
      <c r="P11" s="44"/>
    </row>
    <row r="12" spans="1:16">
      <c r="A12" s="62" t="s">
        <v>124</v>
      </c>
      <c r="B12" s="24">
        <v>7.04</v>
      </c>
      <c r="C12" s="24">
        <v>9.1</v>
      </c>
      <c r="D12" s="24">
        <f t="shared" si="0"/>
        <v>82.16</v>
      </c>
      <c r="E12" s="24">
        <v>4.8</v>
      </c>
      <c r="F12" s="24">
        <f t="shared" si="1"/>
        <v>394.36799999999999</v>
      </c>
      <c r="G12" s="24" t="s">
        <v>120</v>
      </c>
      <c r="H12" s="20"/>
      <c r="I12" s="157" t="s">
        <v>124</v>
      </c>
      <c r="J12" s="62"/>
      <c r="K12" s="64"/>
      <c r="L12" s="44">
        <f t="shared" si="2"/>
        <v>1090.443</v>
      </c>
      <c r="M12" s="44">
        <f t="shared" si="3"/>
        <v>1090.443</v>
      </c>
      <c r="N12" s="44"/>
      <c r="O12" s="44"/>
      <c r="P12" s="44"/>
    </row>
    <row r="13" spans="1:16">
      <c r="A13" s="62" t="s">
        <v>125</v>
      </c>
      <c r="B13" s="24">
        <v>5.9</v>
      </c>
      <c r="C13" s="24">
        <v>8.9</v>
      </c>
      <c r="D13" s="24">
        <f t="shared" si="0"/>
        <v>73.95</v>
      </c>
      <c r="E13" s="24">
        <v>4.5</v>
      </c>
      <c r="F13" s="24">
        <f t="shared" si="1"/>
        <v>332.77500000000003</v>
      </c>
      <c r="G13" s="24" t="s">
        <v>120</v>
      </c>
      <c r="H13" s="20"/>
      <c r="I13" s="157" t="s">
        <v>125</v>
      </c>
      <c r="J13" s="62"/>
      <c r="K13" s="64"/>
      <c r="L13" s="44">
        <f t="shared" si="2"/>
        <v>1423.2180000000001</v>
      </c>
      <c r="M13" s="44">
        <f t="shared" si="3"/>
        <v>1423.2180000000001</v>
      </c>
      <c r="N13" s="44"/>
      <c r="O13" s="44"/>
      <c r="P13" s="44"/>
    </row>
    <row r="14" spans="1:16">
      <c r="A14" s="66" t="s">
        <v>126</v>
      </c>
      <c r="B14" s="68"/>
      <c r="C14" s="68"/>
      <c r="D14" s="68"/>
      <c r="E14" s="68"/>
      <c r="F14" s="68">
        <f t="shared" si="1"/>
        <v>0</v>
      </c>
      <c r="G14" s="68" t="s">
        <v>155</v>
      </c>
      <c r="H14" s="20"/>
      <c r="I14" s="158" t="s">
        <v>126</v>
      </c>
      <c r="J14" s="62"/>
      <c r="K14" s="64"/>
      <c r="L14" s="44">
        <f t="shared" si="2"/>
        <v>1423.2180000000001</v>
      </c>
      <c r="M14" s="44">
        <f t="shared" si="3"/>
        <v>1423.2180000000001</v>
      </c>
      <c r="N14" s="44"/>
      <c r="O14" s="44"/>
      <c r="P14" s="44"/>
    </row>
    <row r="15" spans="1:16">
      <c r="A15" s="62" t="s">
        <v>128</v>
      </c>
      <c r="B15" s="24">
        <v>6.4</v>
      </c>
      <c r="C15" s="24">
        <v>9</v>
      </c>
      <c r="D15" s="24">
        <f t="shared" ref="D15:D34" si="4">(B15*6.5+C15*4)</f>
        <v>77.599999999999994</v>
      </c>
      <c r="E15" s="24">
        <v>4</v>
      </c>
      <c r="F15" s="24">
        <f t="shared" si="1"/>
        <v>310.39999999999998</v>
      </c>
      <c r="G15" s="24" t="s">
        <v>120</v>
      </c>
      <c r="H15" s="20"/>
      <c r="I15" s="157" t="s">
        <v>128</v>
      </c>
      <c r="J15" s="62"/>
      <c r="K15" s="64"/>
      <c r="L15" s="44">
        <f t="shared" si="2"/>
        <v>1733.6179999999999</v>
      </c>
      <c r="M15" s="44">
        <f t="shared" si="3"/>
        <v>1733.6179999999999</v>
      </c>
      <c r="N15" s="44"/>
      <c r="O15" s="44"/>
      <c r="P15" s="44"/>
    </row>
    <row r="16" spans="1:16">
      <c r="A16" s="62" t="s">
        <v>129</v>
      </c>
      <c r="B16" s="24">
        <v>6.5</v>
      </c>
      <c r="C16" s="24">
        <v>8.9</v>
      </c>
      <c r="D16" s="24">
        <f t="shared" si="4"/>
        <v>77.849999999999994</v>
      </c>
      <c r="E16" s="24">
        <v>4.3</v>
      </c>
      <c r="F16" s="24">
        <f t="shared" si="1"/>
        <v>334.75499999999994</v>
      </c>
      <c r="G16" s="24" t="s">
        <v>120</v>
      </c>
      <c r="H16" s="20"/>
      <c r="I16" s="157" t="s">
        <v>129</v>
      </c>
      <c r="J16" s="62"/>
      <c r="K16" s="64"/>
      <c r="L16" s="44">
        <f t="shared" si="2"/>
        <v>2068.373</v>
      </c>
      <c r="M16" s="44">
        <f t="shared" si="3"/>
        <v>2068.373</v>
      </c>
      <c r="N16" s="44"/>
      <c r="O16" s="44"/>
      <c r="P16" s="44"/>
    </row>
    <row r="17" spans="1:16">
      <c r="A17" s="62" t="s">
        <v>130</v>
      </c>
      <c r="B17" s="24">
        <v>6.32</v>
      </c>
      <c r="C17" s="24">
        <v>9</v>
      </c>
      <c r="D17" s="24">
        <f t="shared" si="4"/>
        <v>77.08</v>
      </c>
      <c r="E17" s="24">
        <v>4.4000000000000004</v>
      </c>
      <c r="F17" s="24">
        <f t="shared" si="1"/>
        <v>339.15200000000004</v>
      </c>
      <c r="G17" s="24" t="s">
        <v>120</v>
      </c>
      <c r="H17" s="20"/>
      <c r="I17" s="157" t="s">
        <v>130</v>
      </c>
      <c r="J17" s="62"/>
      <c r="K17" s="64"/>
      <c r="L17" s="44">
        <f t="shared" si="2"/>
        <v>2407.5250000000001</v>
      </c>
      <c r="M17" s="44">
        <f t="shared" si="3"/>
        <v>2407.5250000000001</v>
      </c>
      <c r="N17" s="44"/>
      <c r="O17" s="44"/>
      <c r="P17" s="44"/>
    </row>
    <row r="18" spans="1:16">
      <c r="A18" s="62" t="s">
        <v>131</v>
      </c>
      <c r="B18" s="24">
        <v>6.6</v>
      </c>
      <c r="C18" s="24">
        <v>8.9</v>
      </c>
      <c r="D18" s="24">
        <f t="shared" si="4"/>
        <v>78.5</v>
      </c>
      <c r="E18" s="24">
        <v>4.5</v>
      </c>
      <c r="F18" s="24">
        <f t="shared" si="1"/>
        <v>353.25</v>
      </c>
      <c r="G18" s="24" t="s">
        <v>120</v>
      </c>
      <c r="H18" s="20"/>
      <c r="I18" s="157" t="s">
        <v>131</v>
      </c>
      <c r="J18" s="62"/>
      <c r="K18" s="64"/>
      <c r="L18" s="44">
        <f t="shared" si="2"/>
        <v>2760.7750000000001</v>
      </c>
      <c r="M18" s="44">
        <f t="shared" si="3"/>
        <v>2760.7750000000001</v>
      </c>
      <c r="N18" s="44"/>
      <c r="O18" s="44"/>
      <c r="P18" s="44"/>
    </row>
    <row r="19" spans="1:16">
      <c r="A19" s="62" t="s">
        <v>132</v>
      </c>
      <c r="B19" s="24">
        <v>6.5</v>
      </c>
      <c r="C19" s="24">
        <v>9.1999999999999993</v>
      </c>
      <c r="D19" s="24">
        <f t="shared" si="4"/>
        <v>79.05</v>
      </c>
      <c r="E19" s="24">
        <v>4.4000000000000004</v>
      </c>
      <c r="F19" s="24">
        <f t="shared" si="1"/>
        <v>347.82</v>
      </c>
      <c r="G19" s="24" t="s">
        <v>120</v>
      </c>
      <c r="H19" s="20"/>
      <c r="I19" s="157" t="s">
        <v>132</v>
      </c>
      <c r="J19" s="62"/>
      <c r="K19" s="64"/>
      <c r="L19" s="44">
        <f t="shared" si="2"/>
        <v>3108.5950000000003</v>
      </c>
      <c r="M19" s="44">
        <f t="shared" si="3"/>
        <v>3108.5950000000003</v>
      </c>
      <c r="N19" s="44"/>
      <c r="O19" s="44"/>
      <c r="P19" s="44"/>
    </row>
    <row r="20" spans="1:16">
      <c r="A20" s="62" t="s">
        <v>133</v>
      </c>
      <c r="B20" s="24">
        <v>5.8</v>
      </c>
      <c r="C20" s="24">
        <v>9</v>
      </c>
      <c r="D20" s="24">
        <f t="shared" si="4"/>
        <v>73.699999999999989</v>
      </c>
      <c r="E20" s="24">
        <v>3.9</v>
      </c>
      <c r="F20" s="24">
        <f t="shared" si="1"/>
        <v>287.42999999999995</v>
      </c>
      <c r="G20" s="24" t="s">
        <v>120</v>
      </c>
      <c r="H20" s="20"/>
      <c r="I20" s="157" t="s">
        <v>133</v>
      </c>
      <c r="J20" s="62"/>
      <c r="K20" s="64"/>
      <c r="L20" s="44">
        <f t="shared" si="2"/>
        <v>3396.0250000000001</v>
      </c>
      <c r="M20" s="44">
        <f t="shared" si="3"/>
        <v>3396.0250000000001</v>
      </c>
      <c r="N20" s="44"/>
      <c r="O20" s="44"/>
      <c r="P20" s="44"/>
    </row>
    <row r="21" spans="1:16">
      <c r="A21" s="62" t="s">
        <v>134</v>
      </c>
      <c r="B21" s="24">
        <v>6.36</v>
      </c>
      <c r="C21" s="24">
        <v>9</v>
      </c>
      <c r="D21" s="24">
        <f t="shared" si="4"/>
        <v>77.34</v>
      </c>
      <c r="E21" s="24">
        <v>3.8</v>
      </c>
      <c r="F21" s="24">
        <f t="shared" si="1"/>
        <v>293.892</v>
      </c>
      <c r="G21" s="24" t="s">
        <v>120</v>
      </c>
      <c r="H21" s="20"/>
      <c r="I21" s="157" t="s">
        <v>134</v>
      </c>
      <c r="J21" s="62"/>
      <c r="K21" s="64"/>
      <c r="L21" s="44">
        <f t="shared" si="2"/>
        <v>3689.9169999999999</v>
      </c>
      <c r="M21" s="44">
        <f t="shared" si="3"/>
        <v>3689.9169999999999</v>
      </c>
      <c r="N21" s="44"/>
      <c r="O21" s="44"/>
      <c r="P21" s="44"/>
    </row>
    <row r="22" spans="1:16">
      <c r="A22" s="62" t="s">
        <v>135</v>
      </c>
      <c r="B22" s="24">
        <v>6.26</v>
      </c>
      <c r="C22" s="24">
        <v>9.2200000000000006</v>
      </c>
      <c r="D22" s="24">
        <f t="shared" si="4"/>
        <v>77.569999999999993</v>
      </c>
      <c r="E22" s="24">
        <v>3.9</v>
      </c>
      <c r="F22" s="24">
        <f t="shared" si="1"/>
        <v>302.52299999999997</v>
      </c>
      <c r="G22" s="24" t="s">
        <v>120</v>
      </c>
      <c r="H22" s="20"/>
      <c r="I22" s="157" t="s">
        <v>135</v>
      </c>
      <c r="J22" s="62"/>
      <c r="K22" s="64"/>
      <c r="L22" s="44">
        <f t="shared" si="2"/>
        <v>3992.44</v>
      </c>
      <c r="M22" s="44">
        <f t="shared" si="3"/>
        <v>3992.44</v>
      </c>
      <c r="N22" s="44"/>
      <c r="O22" s="44"/>
      <c r="P22" s="44"/>
    </row>
    <row r="23" spans="1:16">
      <c r="A23" s="62" t="s">
        <v>136</v>
      </c>
      <c r="B23" s="24">
        <v>7.24</v>
      </c>
      <c r="C23" s="24">
        <v>8.8699999999999992</v>
      </c>
      <c r="D23" s="24">
        <f t="shared" si="4"/>
        <v>82.539999999999992</v>
      </c>
      <c r="E23" s="24">
        <v>3.6</v>
      </c>
      <c r="F23" s="24">
        <f t="shared" si="1"/>
        <v>297.14400000000001</v>
      </c>
      <c r="G23" s="24" t="s">
        <v>120</v>
      </c>
      <c r="H23" s="20"/>
      <c r="I23" s="157" t="s">
        <v>136</v>
      </c>
      <c r="J23" s="194"/>
      <c r="K23" s="193">
        <v>4289.5839999999998</v>
      </c>
      <c r="L23" s="186">
        <f>(L22+F23)</f>
        <v>4289.5839999999998</v>
      </c>
      <c r="M23" s="186">
        <f t="shared" si="3"/>
        <v>0</v>
      </c>
      <c r="N23" s="84"/>
      <c r="O23" s="85"/>
      <c r="P23" s="84" t="s">
        <v>137</v>
      </c>
    </row>
    <row r="24" spans="1:16">
      <c r="A24" s="73" t="s">
        <v>138</v>
      </c>
      <c r="B24" s="75">
        <v>6.84</v>
      </c>
      <c r="C24" s="75">
        <v>9</v>
      </c>
      <c r="D24" s="75">
        <f t="shared" si="4"/>
        <v>80.460000000000008</v>
      </c>
      <c r="E24" s="75">
        <v>3.7</v>
      </c>
      <c r="F24" s="75">
        <f t="shared" si="1"/>
        <v>297.70200000000006</v>
      </c>
      <c r="G24" s="75"/>
      <c r="H24" s="20"/>
      <c r="I24" s="191" t="s">
        <v>138</v>
      </c>
      <c r="J24" s="62"/>
      <c r="K24" s="64"/>
      <c r="L24" s="44">
        <f t="shared" si="2"/>
        <v>4587.2860000000001</v>
      </c>
      <c r="M24" s="44">
        <f t="shared" si="3"/>
        <v>297.70200000000006</v>
      </c>
      <c r="N24" s="44"/>
      <c r="O24" s="44"/>
      <c r="P24" s="44"/>
    </row>
    <row r="25" spans="1:16">
      <c r="A25" s="62" t="s">
        <v>139</v>
      </c>
      <c r="B25" s="24">
        <v>7.24</v>
      </c>
      <c r="C25" s="24">
        <v>8</v>
      </c>
      <c r="D25" s="24">
        <f t="shared" si="4"/>
        <v>79.06</v>
      </c>
      <c r="E25" s="24">
        <v>4.5</v>
      </c>
      <c r="F25" s="24">
        <f t="shared" si="1"/>
        <v>355.77</v>
      </c>
      <c r="G25" s="24" t="s">
        <v>120</v>
      </c>
      <c r="H25" s="20"/>
      <c r="I25" s="157" t="s">
        <v>139</v>
      </c>
      <c r="J25" s="62"/>
      <c r="K25" s="64"/>
      <c r="L25" s="44">
        <f t="shared" si="2"/>
        <v>4943.0560000000005</v>
      </c>
      <c r="M25" s="44">
        <f t="shared" si="3"/>
        <v>653.47199999999998</v>
      </c>
      <c r="N25" s="44"/>
      <c r="O25" s="44"/>
      <c r="P25" s="44"/>
    </row>
    <row r="26" spans="1:16">
      <c r="A26" s="62" t="s">
        <v>140</v>
      </c>
      <c r="B26" s="24">
        <v>7.09</v>
      </c>
      <c r="C26" s="24">
        <v>8.9</v>
      </c>
      <c r="D26" s="24">
        <f t="shared" si="4"/>
        <v>81.685000000000002</v>
      </c>
      <c r="E26" s="24">
        <v>3.7</v>
      </c>
      <c r="F26" s="24">
        <f t="shared" si="1"/>
        <v>302.23450000000003</v>
      </c>
      <c r="G26" s="24" t="s">
        <v>120</v>
      </c>
      <c r="H26" s="20"/>
      <c r="I26" s="157" t="s">
        <v>140</v>
      </c>
      <c r="J26" s="62"/>
      <c r="K26" s="64"/>
      <c r="L26" s="44">
        <f t="shared" si="2"/>
        <v>5245.290500000001</v>
      </c>
      <c r="M26" s="44">
        <f t="shared" si="3"/>
        <v>955.70650000000001</v>
      </c>
      <c r="N26" s="44"/>
      <c r="O26" s="44"/>
      <c r="P26" s="44"/>
    </row>
    <row r="27" spans="1:16">
      <c r="A27" s="62" t="s">
        <v>141</v>
      </c>
      <c r="B27" s="24">
        <v>7.4</v>
      </c>
      <c r="C27" s="24">
        <v>9</v>
      </c>
      <c r="D27" s="24">
        <f t="shared" si="4"/>
        <v>84.1</v>
      </c>
      <c r="E27" s="24">
        <v>3.4</v>
      </c>
      <c r="F27" s="24">
        <f t="shared" si="1"/>
        <v>285.94</v>
      </c>
      <c r="G27" s="24" t="s">
        <v>120</v>
      </c>
      <c r="H27" s="20"/>
      <c r="I27" s="157" t="s">
        <v>141</v>
      </c>
      <c r="J27" s="62"/>
      <c r="K27" s="64"/>
      <c r="L27" s="44">
        <f t="shared" si="2"/>
        <v>5531.2305000000006</v>
      </c>
      <c r="M27" s="44">
        <f t="shared" si="3"/>
        <v>1241.6465000000001</v>
      </c>
      <c r="N27" s="44"/>
      <c r="O27" s="44"/>
      <c r="P27" s="44"/>
    </row>
    <row r="28" spans="1:16">
      <c r="A28" s="62" t="s">
        <v>142</v>
      </c>
      <c r="B28" s="24">
        <v>7.34</v>
      </c>
      <c r="C28" s="24">
        <v>9.2799999999999994</v>
      </c>
      <c r="D28" s="24">
        <f t="shared" si="4"/>
        <v>84.83</v>
      </c>
      <c r="E28" s="24">
        <v>3.1</v>
      </c>
      <c r="F28" s="24">
        <f t="shared" si="1"/>
        <v>262.97300000000001</v>
      </c>
      <c r="G28" s="24" t="s">
        <v>120</v>
      </c>
      <c r="H28" s="20"/>
      <c r="I28" s="157" t="s">
        <v>142</v>
      </c>
      <c r="J28" s="62"/>
      <c r="K28" s="64"/>
      <c r="L28" s="44">
        <f t="shared" si="2"/>
        <v>5794.2035000000005</v>
      </c>
      <c r="M28" s="44">
        <f t="shared" si="3"/>
        <v>1504.6195</v>
      </c>
      <c r="N28" s="44"/>
      <c r="O28" s="44"/>
      <c r="P28" s="44"/>
    </row>
    <row r="29" spans="1:16">
      <c r="A29" s="62" t="s">
        <v>143</v>
      </c>
      <c r="B29" s="24">
        <v>6.39</v>
      </c>
      <c r="C29" s="24">
        <v>9.16</v>
      </c>
      <c r="D29" s="24">
        <f t="shared" si="4"/>
        <v>78.174999999999997</v>
      </c>
      <c r="E29" s="24">
        <v>3.7</v>
      </c>
      <c r="F29" s="24">
        <f t="shared" si="1"/>
        <v>289.2475</v>
      </c>
      <c r="G29" s="24" t="s">
        <v>120</v>
      </c>
      <c r="H29" s="20"/>
      <c r="I29" s="157" t="s">
        <v>143</v>
      </c>
      <c r="J29" s="62"/>
      <c r="K29" s="64"/>
      <c r="L29" s="44">
        <f t="shared" si="2"/>
        <v>6083.4510000000009</v>
      </c>
      <c r="M29" s="44">
        <f t="shared" si="3"/>
        <v>1793.867</v>
      </c>
      <c r="N29" s="44"/>
      <c r="O29" s="44"/>
      <c r="P29" s="44"/>
    </row>
    <row r="30" spans="1:16">
      <c r="A30" s="62" t="s">
        <v>144</v>
      </c>
      <c r="B30" s="24">
        <v>7.68</v>
      </c>
      <c r="C30" s="24">
        <v>9.2200000000000006</v>
      </c>
      <c r="D30" s="24">
        <f t="shared" si="4"/>
        <v>86.800000000000011</v>
      </c>
      <c r="E30" s="24">
        <v>2.8</v>
      </c>
      <c r="F30" s="24">
        <f t="shared" si="1"/>
        <v>243.04000000000002</v>
      </c>
      <c r="G30" s="24" t="s">
        <v>120</v>
      </c>
      <c r="H30" s="20"/>
      <c r="I30" s="157" t="s">
        <v>144</v>
      </c>
      <c r="J30" s="62"/>
      <c r="K30" s="64"/>
      <c r="L30" s="44">
        <f t="shared" si="2"/>
        <v>6326.4910000000009</v>
      </c>
      <c r="M30" s="44">
        <f t="shared" si="3"/>
        <v>2036.9069999999999</v>
      </c>
      <c r="N30" s="44"/>
      <c r="O30" s="44"/>
      <c r="P30" s="44"/>
    </row>
    <row r="31" spans="1:16">
      <c r="A31" s="62" t="s">
        <v>145</v>
      </c>
      <c r="B31" s="24">
        <v>7.18</v>
      </c>
      <c r="C31" s="24">
        <v>10</v>
      </c>
      <c r="D31" s="24">
        <f t="shared" si="4"/>
        <v>86.67</v>
      </c>
      <c r="E31" s="24">
        <v>3</v>
      </c>
      <c r="F31" s="24">
        <f t="shared" si="1"/>
        <v>260.01</v>
      </c>
      <c r="G31" s="24" t="s">
        <v>120</v>
      </c>
      <c r="H31" s="20"/>
      <c r="I31" s="157" t="s">
        <v>145</v>
      </c>
      <c r="J31" s="62"/>
      <c r="K31" s="64"/>
      <c r="L31" s="44">
        <f t="shared" si="2"/>
        <v>6586.5010000000011</v>
      </c>
      <c r="M31" s="44">
        <f t="shared" si="3"/>
        <v>2296.9169999999999</v>
      </c>
      <c r="N31" s="44"/>
      <c r="O31" s="44"/>
      <c r="P31" s="44"/>
    </row>
    <row r="32" spans="1:16">
      <c r="A32" s="62" t="s">
        <v>146</v>
      </c>
      <c r="B32" s="24">
        <v>7.17</v>
      </c>
      <c r="C32" s="24">
        <v>9.98</v>
      </c>
      <c r="D32" s="24">
        <f t="shared" si="4"/>
        <v>86.525000000000006</v>
      </c>
      <c r="E32" s="24">
        <v>3.2</v>
      </c>
      <c r="F32" s="24">
        <f t="shared" si="1"/>
        <v>276.88000000000005</v>
      </c>
      <c r="G32" s="24" t="s">
        <v>120</v>
      </c>
      <c r="H32" s="20"/>
      <c r="I32" s="157" t="s">
        <v>146</v>
      </c>
      <c r="J32" s="62"/>
      <c r="K32" s="64"/>
      <c r="L32" s="44">
        <f t="shared" si="2"/>
        <v>6863.3810000000012</v>
      </c>
      <c r="M32" s="44">
        <f t="shared" si="3"/>
        <v>2573.797</v>
      </c>
      <c r="N32" s="44"/>
      <c r="O32" s="44"/>
      <c r="P32" s="44"/>
    </row>
    <row r="33" spans="1:16">
      <c r="A33" s="62" t="s">
        <v>147</v>
      </c>
      <c r="B33" s="24">
        <v>7.17</v>
      </c>
      <c r="C33" s="24">
        <v>9.08</v>
      </c>
      <c r="D33" s="24">
        <f t="shared" si="4"/>
        <v>82.924999999999997</v>
      </c>
      <c r="E33" s="24">
        <v>2.9</v>
      </c>
      <c r="F33" s="24">
        <f t="shared" si="1"/>
        <v>240.48249999999999</v>
      </c>
      <c r="G33" s="24" t="s">
        <v>120</v>
      </c>
      <c r="H33" s="20"/>
      <c r="I33" s="157" t="s">
        <v>147</v>
      </c>
      <c r="J33" s="62"/>
      <c r="K33" s="64"/>
      <c r="L33" s="44">
        <f t="shared" si="2"/>
        <v>7103.8635000000013</v>
      </c>
      <c r="M33" s="44">
        <f t="shared" si="3"/>
        <v>2814.2795000000001</v>
      </c>
      <c r="N33" s="44"/>
      <c r="O33" s="44"/>
      <c r="P33" s="44"/>
    </row>
    <row r="34" spans="1:16">
      <c r="A34" s="62" t="s">
        <v>148</v>
      </c>
      <c r="B34" s="24">
        <v>7</v>
      </c>
      <c r="C34" s="24">
        <v>8.85</v>
      </c>
      <c r="D34" s="24">
        <f t="shared" si="4"/>
        <v>80.900000000000006</v>
      </c>
      <c r="E34" s="24">
        <v>2.8</v>
      </c>
      <c r="F34" s="24">
        <f t="shared" si="1"/>
        <v>226.52</v>
      </c>
      <c r="G34" s="24" t="s">
        <v>120</v>
      </c>
      <c r="H34" s="20"/>
      <c r="I34" s="157" t="s">
        <v>148</v>
      </c>
      <c r="J34" s="62"/>
      <c r="K34" s="64"/>
      <c r="L34" s="44">
        <f t="shared" si="2"/>
        <v>7330.3835000000017</v>
      </c>
      <c r="M34" s="44">
        <f t="shared" si="3"/>
        <v>3040.7995000000001</v>
      </c>
      <c r="N34" s="44"/>
      <c r="O34" s="44"/>
      <c r="P34" s="44"/>
    </row>
    <row r="35" spans="1:16">
      <c r="A35" s="66" t="s">
        <v>149</v>
      </c>
      <c r="B35" s="68"/>
      <c r="C35" s="68"/>
      <c r="D35" s="68"/>
      <c r="E35" s="68"/>
      <c r="F35" s="68">
        <f t="shared" si="1"/>
        <v>0</v>
      </c>
      <c r="G35" s="68" t="s">
        <v>155</v>
      </c>
      <c r="H35" s="20"/>
      <c r="I35" s="158" t="s">
        <v>149</v>
      </c>
      <c r="J35" s="62"/>
      <c r="K35" s="64"/>
      <c r="L35" s="44">
        <f t="shared" si="2"/>
        <v>7330.3835000000017</v>
      </c>
      <c r="M35" s="44">
        <f t="shared" si="3"/>
        <v>3040.7995000000001</v>
      </c>
      <c r="N35" s="44"/>
      <c r="O35" s="44"/>
      <c r="P35" s="44"/>
    </row>
    <row r="36" spans="1:16">
      <c r="A36" s="62" t="s">
        <v>150</v>
      </c>
      <c r="B36" s="24">
        <v>7</v>
      </c>
      <c r="C36" s="24">
        <v>8</v>
      </c>
      <c r="D36" s="24">
        <f t="shared" ref="D36:D53" si="5">(B36*6.5+C36*4)</f>
        <v>77.5</v>
      </c>
      <c r="E36" s="24">
        <v>2.9</v>
      </c>
      <c r="F36" s="24">
        <f t="shared" si="1"/>
        <v>224.75</v>
      </c>
      <c r="G36" s="24" t="s">
        <v>120</v>
      </c>
      <c r="H36" s="20"/>
      <c r="I36" s="157" t="s">
        <v>150</v>
      </c>
      <c r="J36" s="62"/>
      <c r="K36" s="64"/>
      <c r="L36" s="44">
        <f t="shared" si="2"/>
        <v>7555.1335000000017</v>
      </c>
      <c r="M36" s="44">
        <f t="shared" si="3"/>
        <v>3265.5495000000001</v>
      </c>
      <c r="N36" s="44"/>
      <c r="O36" s="44"/>
      <c r="P36" s="44"/>
    </row>
    <row r="37" spans="1:16">
      <c r="A37" s="62" t="s">
        <v>151</v>
      </c>
      <c r="B37" s="24">
        <v>7</v>
      </c>
      <c r="C37" s="24">
        <v>8</v>
      </c>
      <c r="D37" s="24">
        <f t="shared" si="5"/>
        <v>77.5</v>
      </c>
      <c r="E37" s="24">
        <v>3.1</v>
      </c>
      <c r="F37" s="24">
        <f t="shared" si="1"/>
        <v>240.25</v>
      </c>
      <c r="G37" s="24" t="s">
        <v>120</v>
      </c>
      <c r="H37" s="20"/>
      <c r="I37" s="157" t="s">
        <v>151</v>
      </c>
      <c r="J37" s="62"/>
      <c r="K37" s="64"/>
      <c r="L37" s="44">
        <f>(L36+F37)</f>
        <v>7795.3835000000017</v>
      </c>
      <c r="M37" s="44">
        <f t="shared" si="3"/>
        <v>3505.7995000000001</v>
      </c>
      <c r="N37" s="44"/>
      <c r="O37" s="44"/>
      <c r="P37" s="44"/>
    </row>
    <row r="38" spans="1:16">
      <c r="A38" s="62" t="s">
        <v>152</v>
      </c>
      <c r="B38" s="24">
        <v>6</v>
      </c>
      <c r="C38" s="24">
        <v>8.4</v>
      </c>
      <c r="D38" s="24">
        <f t="shared" si="5"/>
        <v>72.599999999999994</v>
      </c>
      <c r="E38" s="24">
        <v>3.2</v>
      </c>
      <c r="F38" s="24">
        <f t="shared" si="1"/>
        <v>232.32</v>
      </c>
      <c r="G38" s="24" t="s">
        <v>120</v>
      </c>
      <c r="H38" s="20"/>
      <c r="I38" s="157" t="s">
        <v>152</v>
      </c>
      <c r="J38" s="62"/>
      <c r="K38" s="64"/>
      <c r="L38" s="44">
        <f t="shared" si="2"/>
        <v>8027.7035000000014</v>
      </c>
      <c r="M38" s="44">
        <f t="shared" si="3"/>
        <v>3738.1195000000002</v>
      </c>
      <c r="N38" s="44"/>
      <c r="O38" s="44"/>
      <c r="P38" s="44"/>
    </row>
    <row r="39" spans="1:16">
      <c r="A39" s="62" t="s">
        <v>153</v>
      </c>
      <c r="B39" s="24">
        <v>7.8</v>
      </c>
      <c r="C39" s="24">
        <v>9.1999999999999993</v>
      </c>
      <c r="D39" s="24">
        <f t="shared" si="5"/>
        <v>87.5</v>
      </c>
      <c r="E39" s="24">
        <v>2.9</v>
      </c>
      <c r="F39" s="24">
        <f t="shared" si="1"/>
        <v>253.75</v>
      </c>
      <c r="G39" s="24" t="s">
        <v>120</v>
      </c>
      <c r="H39" s="20"/>
      <c r="I39" s="157" t="s">
        <v>153</v>
      </c>
      <c r="J39" s="62"/>
      <c r="K39" s="64"/>
      <c r="L39" s="44">
        <f t="shared" si="2"/>
        <v>8281.4535000000014</v>
      </c>
      <c r="M39" s="44">
        <f t="shared" si="3"/>
        <v>3991.8695000000002</v>
      </c>
      <c r="N39" s="44"/>
      <c r="O39" s="44"/>
      <c r="P39" s="44"/>
    </row>
    <row r="40" spans="1:16">
      <c r="A40" s="62" t="s">
        <v>154</v>
      </c>
      <c r="B40" s="24">
        <v>6.3</v>
      </c>
      <c r="C40" s="24">
        <v>6.3</v>
      </c>
      <c r="D40" s="24">
        <f t="shared" si="5"/>
        <v>66.149999999999991</v>
      </c>
      <c r="E40" s="24">
        <v>3.1</v>
      </c>
      <c r="F40" s="24">
        <f t="shared" si="1"/>
        <v>205.06499999999997</v>
      </c>
      <c r="G40" s="24" t="s">
        <v>120</v>
      </c>
      <c r="H40" s="20"/>
      <c r="I40" s="157" t="s">
        <v>154</v>
      </c>
      <c r="J40" s="62"/>
      <c r="K40" s="64"/>
      <c r="L40" s="44">
        <f t="shared" si="2"/>
        <v>8486.5185000000019</v>
      </c>
      <c r="M40" s="44">
        <f t="shared" si="3"/>
        <v>4196.9345000000003</v>
      </c>
      <c r="N40" s="44"/>
      <c r="O40" s="44"/>
      <c r="P40" s="44"/>
    </row>
    <row r="41" spans="1:16">
      <c r="A41" s="62" t="s">
        <v>156</v>
      </c>
      <c r="B41" s="24">
        <v>6.1</v>
      </c>
      <c r="C41" s="24">
        <v>6.6</v>
      </c>
      <c r="D41" s="24">
        <f t="shared" si="5"/>
        <v>66.05</v>
      </c>
      <c r="E41" s="24">
        <v>3</v>
      </c>
      <c r="F41" s="24">
        <f t="shared" si="1"/>
        <v>198.14999999999998</v>
      </c>
      <c r="G41" s="24" t="s">
        <v>120</v>
      </c>
      <c r="H41" s="20"/>
      <c r="I41" s="157" t="s">
        <v>156</v>
      </c>
      <c r="J41" s="62"/>
      <c r="K41" s="64"/>
      <c r="L41" s="44">
        <f t="shared" si="2"/>
        <v>8684.6685000000016</v>
      </c>
      <c r="M41" s="44">
        <f t="shared" si="3"/>
        <v>4395.0844999999999</v>
      </c>
      <c r="N41" s="44"/>
      <c r="O41" s="44"/>
      <c r="P41" s="44"/>
    </row>
    <row r="42" spans="1:16">
      <c r="A42" s="62" t="s">
        <v>157</v>
      </c>
      <c r="B42" s="24">
        <v>6.3</v>
      </c>
      <c r="C42" s="24">
        <v>7.4</v>
      </c>
      <c r="D42" s="24">
        <f t="shared" si="5"/>
        <v>70.55</v>
      </c>
      <c r="E42" s="24">
        <v>3.6</v>
      </c>
      <c r="F42" s="24">
        <f t="shared" si="1"/>
        <v>253.98</v>
      </c>
      <c r="G42" s="24" t="s">
        <v>120</v>
      </c>
      <c r="H42" s="20"/>
      <c r="I42" s="157" t="s">
        <v>157</v>
      </c>
      <c r="J42" s="62"/>
      <c r="K42" s="64"/>
      <c r="L42" s="44">
        <f t="shared" si="2"/>
        <v>8938.6485000000011</v>
      </c>
      <c r="M42" s="44">
        <f t="shared" si="3"/>
        <v>4649.0644999999995</v>
      </c>
      <c r="N42" s="44"/>
      <c r="O42" s="44"/>
      <c r="P42" s="44"/>
    </row>
    <row r="43" spans="1:16">
      <c r="A43" s="62" t="s">
        <v>158</v>
      </c>
      <c r="B43" s="24">
        <v>7.1</v>
      </c>
      <c r="C43" s="24">
        <v>8.9</v>
      </c>
      <c r="D43" s="24">
        <f t="shared" si="5"/>
        <v>81.75</v>
      </c>
      <c r="E43" s="24">
        <v>3.1</v>
      </c>
      <c r="F43" s="24">
        <f t="shared" si="1"/>
        <v>253.42500000000001</v>
      </c>
      <c r="G43" s="24" t="s">
        <v>120</v>
      </c>
      <c r="H43" s="20"/>
      <c r="I43" s="157" t="s">
        <v>158</v>
      </c>
      <c r="J43" s="62"/>
      <c r="K43" s="64"/>
      <c r="L43" s="44">
        <f t="shared" si="2"/>
        <v>9192.0735000000004</v>
      </c>
      <c r="M43" s="44">
        <f t="shared" si="3"/>
        <v>4902.4894999999997</v>
      </c>
      <c r="N43" s="44"/>
      <c r="O43" s="44"/>
      <c r="P43" s="44"/>
    </row>
    <row r="44" spans="1:16">
      <c r="A44" s="62" t="s">
        <v>159</v>
      </c>
      <c r="B44" s="24">
        <v>8.5</v>
      </c>
      <c r="C44" s="24">
        <v>9.1999999999999993</v>
      </c>
      <c r="D44" s="24">
        <f t="shared" si="5"/>
        <v>92.05</v>
      </c>
      <c r="E44" s="24">
        <v>2.5</v>
      </c>
      <c r="F44" s="24">
        <f t="shared" si="1"/>
        <v>230.125</v>
      </c>
      <c r="G44" s="24" t="s">
        <v>120</v>
      </c>
      <c r="H44" s="20"/>
      <c r="I44" s="157" t="s">
        <v>159</v>
      </c>
      <c r="J44" s="62"/>
      <c r="K44" s="64"/>
      <c r="L44" s="44">
        <f t="shared" si="2"/>
        <v>9422.1985000000004</v>
      </c>
      <c r="M44" s="44">
        <f t="shared" si="3"/>
        <v>5132.6144999999997</v>
      </c>
      <c r="N44" s="44"/>
      <c r="O44" s="44"/>
      <c r="P44" s="44"/>
    </row>
    <row r="45" spans="1:16">
      <c r="A45" s="62" t="s">
        <v>160</v>
      </c>
      <c r="B45" s="24">
        <v>7.5</v>
      </c>
      <c r="C45" s="24">
        <v>8.8000000000000007</v>
      </c>
      <c r="D45" s="24">
        <f t="shared" si="5"/>
        <v>83.95</v>
      </c>
      <c r="E45" s="24">
        <v>3.1</v>
      </c>
      <c r="F45" s="24">
        <f t="shared" si="1"/>
        <v>260.245</v>
      </c>
      <c r="G45" s="24" t="s">
        <v>120</v>
      </c>
      <c r="H45" s="20"/>
      <c r="I45" s="157" t="s">
        <v>160</v>
      </c>
      <c r="J45" s="62"/>
      <c r="K45" s="64"/>
      <c r="L45" s="44">
        <f t="shared" si="2"/>
        <v>9682.4435000000012</v>
      </c>
      <c r="M45" s="44">
        <f t="shared" si="3"/>
        <v>5392.8594999999996</v>
      </c>
      <c r="N45" s="44"/>
      <c r="O45" s="44"/>
      <c r="P45" s="44"/>
    </row>
    <row r="46" spans="1:16">
      <c r="A46" s="62" t="s">
        <v>161</v>
      </c>
      <c r="B46" s="24">
        <v>6.3</v>
      </c>
      <c r="C46" s="24">
        <v>6.8</v>
      </c>
      <c r="D46" s="24">
        <f t="shared" si="5"/>
        <v>68.149999999999991</v>
      </c>
      <c r="E46" s="24">
        <v>3.1</v>
      </c>
      <c r="F46" s="24">
        <f t="shared" si="1"/>
        <v>211.26499999999999</v>
      </c>
      <c r="G46" s="24" t="s">
        <v>120</v>
      </c>
      <c r="H46" s="20"/>
      <c r="I46" s="157" t="s">
        <v>161</v>
      </c>
      <c r="J46" s="62"/>
      <c r="K46" s="64"/>
      <c r="L46" s="44">
        <f t="shared" si="2"/>
        <v>9893.7085000000006</v>
      </c>
      <c r="M46" s="44">
        <f t="shared" si="3"/>
        <v>5604.1244999999999</v>
      </c>
      <c r="N46" s="44"/>
      <c r="O46" s="44"/>
      <c r="P46" s="44"/>
    </row>
    <row r="47" spans="1:16">
      <c r="A47" s="62" t="s">
        <v>162</v>
      </c>
      <c r="B47" s="24">
        <v>8.1999999999999993</v>
      </c>
      <c r="C47" s="24">
        <v>8.6</v>
      </c>
      <c r="D47" s="24">
        <f t="shared" si="5"/>
        <v>87.699999999999989</v>
      </c>
      <c r="E47" s="24">
        <v>3.2</v>
      </c>
      <c r="F47" s="24">
        <f t="shared" ref="F47:F53" si="6">(B47*6.5+C47*4)*E47</f>
        <v>280.64</v>
      </c>
      <c r="G47" s="24" t="s">
        <v>120</v>
      </c>
      <c r="H47" s="20"/>
      <c r="I47" s="157" t="s">
        <v>162</v>
      </c>
      <c r="J47" s="62"/>
      <c r="K47" s="94"/>
      <c r="L47" s="44">
        <f t="shared" si="2"/>
        <v>10174.3485</v>
      </c>
      <c r="M47" s="44">
        <f t="shared" si="3"/>
        <v>5884.7645000000002</v>
      </c>
      <c r="N47" s="86"/>
      <c r="O47" s="86"/>
      <c r="P47" s="86"/>
    </row>
    <row r="48" spans="1:16">
      <c r="A48" s="79" t="s">
        <v>163</v>
      </c>
      <c r="B48" s="80">
        <v>9.5</v>
      </c>
      <c r="C48" s="80">
        <v>9</v>
      </c>
      <c r="D48" s="24">
        <f t="shared" si="5"/>
        <v>97.75</v>
      </c>
      <c r="E48">
        <v>3.1</v>
      </c>
      <c r="F48" s="24">
        <f t="shared" si="6"/>
        <v>303.02500000000003</v>
      </c>
      <c r="G48" s="24" t="s">
        <v>120</v>
      </c>
      <c r="I48" s="160" t="s">
        <v>163</v>
      </c>
      <c r="J48" s="24"/>
      <c r="K48" s="64"/>
      <c r="L48" s="44">
        <f t="shared" si="2"/>
        <v>10477.3735</v>
      </c>
      <c r="M48" s="44">
        <f t="shared" si="3"/>
        <v>6187.7894999999999</v>
      </c>
      <c r="N48" s="87"/>
      <c r="O48" s="87"/>
      <c r="P48" s="87"/>
    </row>
    <row r="49" spans="1:16">
      <c r="A49" s="88" t="s">
        <v>164</v>
      </c>
      <c r="B49" s="87">
        <v>7.1</v>
      </c>
      <c r="C49" s="87">
        <v>6.5</v>
      </c>
      <c r="D49" s="24">
        <f t="shared" si="5"/>
        <v>72.150000000000006</v>
      </c>
      <c r="E49" s="87">
        <v>2.8</v>
      </c>
      <c r="F49" s="24">
        <f t="shared" si="6"/>
        <v>202.02</v>
      </c>
      <c r="G49" s="24" t="s">
        <v>120</v>
      </c>
      <c r="I49" s="192" t="s">
        <v>164</v>
      </c>
      <c r="J49" s="24"/>
      <c r="K49" s="64"/>
      <c r="L49" s="44">
        <f t="shared" si="2"/>
        <v>10679.3935</v>
      </c>
      <c r="M49" s="44">
        <f t="shared" si="3"/>
        <v>6389.8095000000003</v>
      </c>
      <c r="N49" s="87"/>
      <c r="O49" s="87"/>
      <c r="P49" s="87"/>
    </row>
    <row r="50" spans="1:16">
      <c r="A50" s="88" t="s">
        <v>165</v>
      </c>
      <c r="B50" s="87">
        <v>7.3</v>
      </c>
      <c r="C50" s="87">
        <v>9.6999999999999993</v>
      </c>
      <c r="D50" s="24">
        <f t="shared" si="5"/>
        <v>86.25</v>
      </c>
      <c r="E50" s="87">
        <v>3.7</v>
      </c>
      <c r="F50" s="24">
        <f t="shared" si="6"/>
        <v>319.125</v>
      </c>
      <c r="G50" s="24" t="s">
        <v>120</v>
      </c>
      <c r="I50" s="192" t="s">
        <v>165</v>
      </c>
      <c r="J50" s="24"/>
      <c r="K50" s="64"/>
      <c r="L50" s="44">
        <f t="shared" si="2"/>
        <v>10998.5185</v>
      </c>
      <c r="M50" s="44">
        <f t="shared" si="3"/>
        <v>6708.9345000000003</v>
      </c>
      <c r="N50" s="87"/>
      <c r="O50" s="87"/>
      <c r="P50" s="87"/>
    </row>
    <row r="51" spans="1:16">
      <c r="A51" s="88" t="s">
        <v>166</v>
      </c>
      <c r="B51" s="87">
        <v>6.6</v>
      </c>
      <c r="C51" s="87">
        <v>5.7</v>
      </c>
      <c r="D51" s="24">
        <f t="shared" si="5"/>
        <v>65.7</v>
      </c>
      <c r="E51" s="87">
        <v>3.3</v>
      </c>
      <c r="F51" s="24">
        <f t="shared" si="6"/>
        <v>216.81</v>
      </c>
      <c r="G51" s="24" t="s">
        <v>120</v>
      </c>
      <c r="I51" s="192" t="s">
        <v>166</v>
      </c>
      <c r="J51" s="24"/>
      <c r="K51" s="64"/>
      <c r="L51" s="44">
        <f>(L50+F51)</f>
        <v>11215.3285</v>
      </c>
      <c r="M51" s="44">
        <f t="shared" si="3"/>
        <v>6925.7445000000007</v>
      </c>
      <c r="N51" s="87"/>
      <c r="O51" s="87"/>
      <c r="P51" s="87"/>
    </row>
    <row r="52" spans="1:16">
      <c r="A52" s="88" t="s">
        <v>167</v>
      </c>
      <c r="B52" s="87">
        <v>8.1</v>
      </c>
      <c r="C52" s="87">
        <v>7.9</v>
      </c>
      <c r="D52" s="24">
        <f t="shared" si="5"/>
        <v>84.25</v>
      </c>
      <c r="E52" s="87">
        <v>3.2</v>
      </c>
      <c r="F52" s="24">
        <f t="shared" si="6"/>
        <v>269.60000000000002</v>
      </c>
      <c r="G52" s="24" t="s">
        <v>120</v>
      </c>
      <c r="I52" s="192" t="s">
        <v>167</v>
      </c>
      <c r="J52" s="24"/>
      <c r="K52" s="64"/>
      <c r="L52" s="44">
        <f t="shared" si="2"/>
        <v>11484.9285</v>
      </c>
      <c r="M52" s="44">
        <f t="shared" si="3"/>
        <v>7195.3445000000011</v>
      </c>
      <c r="N52" s="87"/>
      <c r="O52" s="87"/>
      <c r="P52" s="87"/>
    </row>
    <row r="53" spans="1:16">
      <c r="A53" s="88" t="s">
        <v>168</v>
      </c>
      <c r="B53" s="87">
        <v>8.6999999999999993</v>
      </c>
      <c r="C53" s="87">
        <v>8.9</v>
      </c>
      <c r="D53" s="24">
        <f t="shared" si="5"/>
        <v>92.15</v>
      </c>
      <c r="E53" s="87">
        <v>2.9</v>
      </c>
      <c r="F53" s="24">
        <f t="shared" si="6"/>
        <v>267.23500000000001</v>
      </c>
      <c r="G53" s="24" t="s">
        <v>120</v>
      </c>
      <c r="I53" s="192" t="s">
        <v>168</v>
      </c>
      <c r="J53" s="24"/>
      <c r="K53" s="64">
        <v>7462</v>
      </c>
      <c r="L53" s="44">
        <f t="shared" si="2"/>
        <v>11752.163500000001</v>
      </c>
      <c r="M53" s="44">
        <f t="shared" si="3"/>
        <v>0.57950000000073487</v>
      </c>
      <c r="N53" s="87"/>
      <c r="O53" s="87"/>
      <c r="P53" s="87"/>
    </row>
  </sheetData>
  <mergeCells count="1">
    <mergeCell ref="B2:G2"/>
  </mergeCells>
  <hyperlinks>
    <hyperlink ref="F5" location="'Customer Index'!A8" display="Customer Code"/>
    <hyperlink ref="G5" location="'Customer Index'!A9" display="Bas02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69"/>
  <sheetViews>
    <sheetView zoomScaleNormal="100" workbookViewId="0">
      <selection activeCell="G5" sqref="G5"/>
    </sheetView>
  </sheetViews>
  <sheetFormatPr defaultColWidth="14.109375" defaultRowHeight="14.4"/>
  <cols>
    <col min="1" max="1" width="14" customWidth="1"/>
    <col min="2" max="2" width="7.6640625" customWidth="1"/>
    <col min="3" max="3" width="9.109375" customWidth="1"/>
    <col min="4" max="5" width="9" customWidth="1"/>
    <col min="6" max="6" width="15.6640625" customWidth="1"/>
    <col min="7" max="7" width="12.109375" customWidth="1"/>
    <col min="9" max="9" width="14.109375" hidden="1"/>
    <col min="12" max="12" width="11.5546875" customWidth="1"/>
    <col min="15" max="15" width="6.6640625" customWidth="1"/>
    <col min="16" max="16" width="12.88671875" bestFit="1" customWidth="1"/>
    <col min="17" max="17" width="11.109375" bestFit="1" customWidth="1"/>
    <col min="18" max="18" width="11.109375" customWidth="1"/>
    <col min="19" max="19" width="15.44140625" bestFit="1" customWidth="1"/>
    <col min="20" max="20" width="12.88671875" bestFit="1" customWidth="1"/>
    <col min="21" max="21" width="12.5546875" bestFit="1" customWidth="1"/>
    <col min="22" max="22" width="15.6640625" customWidth="1"/>
  </cols>
  <sheetData>
    <row r="2" spans="1:23" ht="28.8">
      <c r="B2" s="203" t="s">
        <v>103</v>
      </c>
      <c r="C2" s="203"/>
      <c r="D2" s="203"/>
      <c r="E2" s="203"/>
      <c r="F2" s="203"/>
      <c r="G2" s="203"/>
      <c r="M2" s="49" t="s">
        <v>104</v>
      </c>
    </row>
    <row r="3" spans="1:23">
      <c r="A3" s="50" t="s">
        <v>200</v>
      </c>
      <c r="B3" s="51"/>
      <c r="C3" s="51"/>
      <c r="F3" s="52" t="s">
        <v>106</v>
      </c>
      <c r="G3" s="53">
        <v>9706742114</v>
      </c>
      <c r="H3" s="54"/>
    </row>
    <row r="5" spans="1:23">
      <c r="A5" s="50" t="s">
        <v>199</v>
      </c>
      <c r="B5" s="51"/>
      <c r="C5" s="51"/>
      <c r="D5" s="51"/>
      <c r="E5" s="51"/>
      <c r="F5" s="89" t="s">
        <v>18</v>
      </c>
      <c r="G5" s="90" t="s">
        <v>28</v>
      </c>
      <c r="M5" s="56"/>
    </row>
    <row r="7" spans="1:23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9" t="s">
        <v>109</v>
      </c>
      <c r="K7" s="60" t="s">
        <v>113</v>
      </c>
      <c r="L7" s="61" t="s">
        <v>114</v>
      </c>
      <c r="M7" s="60" t="s">
        <v>115</v>
      </c>
      <c r="N7" s="60" t="s">
        <v>116</v>
      </c>
      <c r="O7" s="60" t="s">
        <v>117</v>
      </c>
      <c r="P7" s="60" t="s">
        <v>201</v>
      </c>
      <c r="Q7" s="60" t="s">
        <v>118</v>
      </c>
      <c r="S7" s="91" t="s">
        <v>21</v>
      </c>
      <c r="T7" s="91" t="s">
        <v>202</v>
      </c>
      <c r="U7" s="92" t="s">
        <v>203</v>
      </c>
      <c r="V7" s="91" t="s">
        <v>201</v>
      </c>
      <c r="W7" s="91"/>
    </row>
    <row r="8" spans="1:23" ht="18">
      <c r="A8" s="62" t="s">
        <v>119</v>
      </c>
      <c r="B8" s="24">
        <v>0</v>
      </c>
      <c r="C8" s="24">
        <v>0</v>
      </c>
      <c r="D8" s="24">
        <v>0</v>
      </c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63"/>
      <c r="L8" s="64"/>
      <c r="M8" s="65">
        <f>(F8)</f>
        <v>0</v>
      </c>
      <c r="N8" s="44">
        <f>(M8-L8)</f>
        <v>0</v>
      </c>
      <c r="O8" s="44" t="str">
        <f t="shared" ref="O8:O50" si="1">IF(N8&lt;-1,"Dr","Cr")</f>
        <v>Cr</v>
      </c>
      <c r="P8" s="44">
        <f>(D8)</f>
        <v>0</v>
      </c>
      <c r="Q8" s="44"/>
      <c r="S8" s="44">
        <f>SUM(F8:F68)</f>
        <v>10143.568199999998</v>
      </c>
      <c r="T8" s="44">
        <f>SUM(L8:L48)</f>
        <v>6754</v>
      </c>
      <c r="U8" s="44">
        <f>(S8-T8)</f>
        <v>3389.5681999999979</v>
      </c>
      <c r="V8" s="44">
        <f>SUM(D8:D47)</f>
        <v>113.63</v>
      </c>
      <c r="W8" s="44"/>
    </row>
    <row r="9" spans="1:23">
      <c r="A9" s="62" t="s">
        <v>121</v>
      </c>
      <c r="B9" s="24">
        <v>5.98</v>
      </c>
      <c r="C9" s="24">
        <v>9.77</v>
      </c>
      <c r="D9" s="24">
        <v>3.25</v>
      </c>
      <c r="E9" s="24">
        <f t="shared" ref="E9:E53" si="2">(B9*6.5+C9*4)</f>
        <v>77.95</v>
      </c>
      <c r="F9" s="24">
        <f t="shared" si="0"/>
        <v>253.33750000000001</v>
      </c>
      <c r="G9" s="24" t="s">
        <v>120</v>
      </c>
      <c r="H9" s="20"/>
      <c r="I9" s="20"/>
      <c r="J9" s="62" t="s">
        <v>121</v>
      </c>
      <c r="K9" s="63"/>
      <c r="L9" s="64"/>
      <c r="M9" s="44">
        <f t="shared" ref="M9:M39" si="3">(M8+F9)</f>
        <v>253.33750000000001</v>
      </c>
      <c r="N9" s="44">
        <f t="shared" ref="N9:N53" si="4">(N8+F9-L9)</f>
        <v>253.33750000000001</v>
      </c>
      <c r="O9" s="44" t="str">
        <f t="shared" si="1"/>
        <v>Cr</v>
      </c>
      <c r="P9" s="44">
        <f t="shared" ref="P9:P39" si="5">(P8+D9)</f>
        <v>3.25</v>
      </c>
      <c r="Q9" s="44"/>
      <c r="S9" s="44"/>
      <c r="T9" s="44"/>
      <c r="U9" s="44"/>
      <c r="V9" s="44"/>
      <c r="W9" s="44"/>
    </row>
    <row r="10" spans="1:23">
      <c r="A10" s="62" t="s">
        <v>122</v>
      </c>
      <c r="B10" s="24">
        <v>6.21</v>
      </c>
      <c r="C10" s="24">
        <v>10</v>
      </c>
      <c r="D10" s="24">
        <v>3.38</v>
      </c>
      <c r="E10" s="24">
        <f t="shared" si="2"/>
        <v>80.365000000000009</v>
      </c>
      <c r="F10" s="24">
        <f t="shared" si="0"/>
        <v>271.63370000000003</v>
      </c>
      <c r="G10" s="24" t="s">
        <v>120</v>
      </c>
      <c r="H10" s="20"/>
      <c r="I10" s="20"/>
      <c r="J10" s="62" t="s">
        <v>122</v>
      </c>
      <c r="K10" s="63"/>
      <c r="L10" s="64"/>
      <c r="M10" s="44">
        <f t="shared" si="3"/>
        <v>524.97120000000007</v>
      </c>
      <c r="N10" s="44">
        <f t="shared" si="4"/>
        <v>524.97120000000007</v>
      </c>
      <c r="O10" s="44" t="str">
        <f t="shared" si="1"/>
        <v>Cr</v>
      </c>
      <c r="P10" s="44">
        <f t="shared" si="5"/>
        <v>6.63</v>
      </c>
      <c r="Q10" s="44"/>
      <c r="S10" s="44"/>
      <c r="T10" s="44"/>
      <c r="U10" s="44"/>
      <c r="V10" s="44"/>
      <c r="W10" s="44"/>
    </row>
    <row r="11" spans="1:23">
      <c r="A11" s="62" t="s">
        <v>123</v>
      </c>
      <c r="B11" s="24">
        <v>6.08</v>
      </c>
      <c r="C11" s="24">
        <v>9.1300000000000008</v>
      </c>
      <c r="D11" s="24">
        <v>3.3</v>
      </c>
      <c r="E11" s="24">
        <f t="shared" si="2"/>
        <v>76.040000000000006</v>
      </c>
      <c r="F11" s="24">
        <f t="shared" si="0"/>
        <v>250.93200000000002</v>
      </c>
      <c r="G11" s="24" t="s">
        <v>120</v>
      </c>
      <c r="H11" s="20"/>
      <c r="I11" s="20"/>
      <c r="J11" s="62" t="s">
        <v>123</v>
      </c>
      <c r="K11" s="63"/>
      <c r="L11" s="64"/>
      <c r="M11" s="44">
        <f t="shared" si="3"/>
        <v>775.90320000000008</v>
      </c>
      <c r="N11" s="44">
        <f t="shared" si="4"/>
        <v>775.90320000000008</v>
      </c>
      <c r="O11" s="44" t="str">
        <f t="shared" si="1"/>
        <v>Cr</v>
      </c>
      <c r="P11" s="44">
        <f t="shared" si="5"/>
        <v>9.93</v>
      </c>
      <c r="Q11" s="44"/>
      <c r="S11" s="44"/>
      <c r="T11" s="44"/>
      <c r="U11" s="44"/>
      <c r="V11" s="44"/>
      <c r="W11" s="44"/>
    </row>
    <row r="12" spans="1:23">
      <c r="A12" s="66" t="s">
        <v>124</v>
      </c>
      <c r="B12" s="68"/>
      <c r="C12" s="68"/>
      <c r="D12" s="68"/>
      <c r="E12" s="68">
        <f t="shared" si="2"/>
        <v>0</v>
      </c>
      <c r="F12" s="68">
        <f t="shared" si="0"/>
        <v>0</v>
      </c>
      <c r="G12" s="68" t="s">
        <v>155</v>
      </c>
      <c r="H12" s="20"/>
      <c r="I12" s="20"/>
      <c r="J12" s="66" t="s">
        <v>124</v>
      </c>
      <c r="K12" s="63"/>
      <c r="L12" s="64"/>
      <c r="M12" s="44">
        <f t="shared" si="3"/>
        <v>775.90320000000008</v>
      </c>
      <c r="N12" s="44">
        <f t="shared" si="4"/>
        <v>775.90320000000008</v>
      </c>
      <c r="O12" s="44" t="str">
        <f t="shared" si="1"/>
        <v>Cr</v>
      </c>
      <c r="P12" s="44">
        <f t="shared" si="5"/>
        <v>9.93</v>
      </c>
      <c r="Q12" s="44"/>
      <c r="S12" s="44"/>
      <c r="T12" s="44"/>
      <c r="U12" s="44"/>
      <c r="V12" s="44"/>
      <c r="W12" s="44"/>
    </row>
    <row r="13" spans="1:23">
      <c r="A13" s="62" t="s">
        <v>125</v>
      </c>
      <c r="B13" s="24">
        <v>6.6</v>
      </c>
      <c r="C13" s="24">
        <v>9.3000000000000007</v>
      </c>
      <c r="D13" s="24">
        <v>3.4</v>
      </c>
      <c r="E13" s="24">
        <f t="shared" si="2"/>
        <v>80.099999999999994</v>
      </c>
      <c r="F13" s="24">
        <f t="shared" si="0"/>
        <v>272.33999999999997</v>
      </c>
      <c r="G13" s="24" t="s">
        <v>120</v>
      </c>
      <c r="H13" s="20"/>
      <c r="I13" s="20"/>
      <c r="J13" s="62" t="s">
        <v>125</v>
      </c>
      <c r="K13" s="63"/>
      <c r="L13" s="64"/>
      <c r="M13" s="44">
        <f t="shared" si="3"/>
        <v>1048.2432000000001</v>
      </c>
      <c r="N13" s="44">
        <f t="shared" si="4"/>
        <v>1048.2432000000001</v>
      </c>
      <c r="O13" s="44" t="str">
        <f t="shared" si="1"/>
        <v>Cr</v>
      </c>
      <c r="P13" s="44">
        <f t="shared" si="5"/>
        <v>13.33</v>
      </c>
      <c r="Q13" s="44"/>
      <c r="S13" s="44"/>
      <c r="T13" s="44"/>
      <c r="U13" s="44"/>
      <c r="V13" s="44"/>
      <c r="W13" s="44"/>
    </row>
    <row r="14" spans="1:23">
      <c r="A14" s="66" t="s">
        <v>126</v>
      </c>
      <c r="B14" s="68"/>
      <c r="C14" s="68"/>
      <c r="D14" s="68"/>
      <c r="E14" s="68">
        <f t="shared" si="2"/>
        <v>0</v>
      </c>
      <c r="F14" s="68">
        <f t="shared" si="0"/>
        <v>0</v>
      </c>
      <c r="G14" s="68" t="s">
        <v>155</v>
      </c>
      <c r="H14" s="20"/>
      <c r="I14" s="20"/>
      <c r="J14" s="66" t="s">
        <v>126</v>
      </c>
      <c r="K14" s="63"/>
      <c r="L14" s="64"/>
      <c r="M14" s="44">
        <f t="shared" si="3"/>
        <v>1048.2432000000001</v>
      </c>
      <c r="N14" s="44">
        <f t="shared" si="4"/>
        <v>1048.2432000000001</v>
      </c>
      <c r="O14" s="44" t="str">
        <f t="shared" si="1"/>
        <v>Cr</v>
      </c>
      <c r="P14" s="44">
        <f t="shared" si="5"/>
        <v>13.33</v>
      </c>
      <c r="Q14" s="44"/>
      <c r="S14" s="44"/>
      <c r="T14" s="44"/>
      <c r="U14" s="44"/>
      <c r="V14" s="44"/>
      <c r="W14" s="44"/>
    </row>
    <row r="15" spans="1:23">
      <c r="A15" s="62" t="s">
        <v>128</v>
      </c>
      <c r="B15" s="24">
        <v>6.2</v>
      </c>
      <c r="C15" s="24">
        <v>9.4</v>
      </c>
      <c r="D15" s="24">
        <v>3.4</v>
      </c>
      <c r="E15" s="24">
        <f t="shared" si="2"/>
        <v>77.900000000000006</v>
      </c>
      <c r="F15" s="24">
        <f t="shared" si="0"/>
        <v>264.86</v>
      </c>
      <c r="G15" s="24" t="s">
        <v>120</v>
      </c>
      <c r="H15" s="20"/>
      <c r="I15" s="20"/>
      <c r="J15" s="62" t="s">
        <v>128</v>
      </c>
      <c r="K15" s="63"/>
      <c r="L15" s="64"/>
      <c r="M15" s="44">
        <f t="shared" si="3"/>
        <v>1313.1032</v>
      </c>
      <c r="N15" s="44">
        <f t="shared" si="4"/>
        <v>1313.1032</v>
      </c>
      <c r="O15" s="44" t="str">
        <f t="shared" si="1"/>
        <v>Cr</v>
      </c>
      <c r="P15" s="44">
        <f t="shared" si="5"/>
        <v>16.73</v>
      </c>
      <c r="Q15" s="44"/>
      <c r="S15" s="44"/>
      <c r="T15" s="44"/>
      <c r="U15" s="44"/>
      <c r="V15" s="44"/>
      <c r="W15" s="44"/>
    </row>
    <row r="16" spans="1:23">
      <c r="A16" s="62" t="s">
        <v>129</v>
      </c>
      <c r="B16" s="24">
        <v>6</v>
      </c>
      <c r="C16" s="24">
        <v>9.3000000000000007</v>
      </c>
      <c r="D16" s="24">
        <v>3.4</v>
      </c>
      <c r="E16" s="24">
        <f t="shared" si="2"/>
        <v>76.2</v>
      </c>
      <c r="F16" s="24">
        <f t="shared" si="0"/>
        <v>259.08</v>
      </c>
      <c r="G16" s="24" t="s">
        <v>120</v>
      </c>
      <c r="H16" s="20"/>
      <c r="I16" s="20"/>
      <c r="J16" s="62" t="s">
        <v>129</v>
      </c>
      <c r="K16" s="63"/>
      <c r="L16" s="64"/>
      <c r="M16" s="44">
        <f t="shared" si="3"/>
        <v>1572.1831999999999</v>
      </c>
      <c r="N16" s="44">
        <f t="shared" si="4"/>
        <v>1572.1831999999999</v>
      </c>
      <c r="O16" s="44" t="str">
        <f t="shared" si="1"/>
        <v>Cr</v>
      </c>
      <c r="P16" s="44">
        <f t="shared" si="5"/>
        <v>20.13</v>
      </c>
      <c r="Q16" s="44"/>
      <c r="S16" s="44"/>
      <c r="T16" s="44"/>
      <c r="U16" s="44"/>
      <c r="V16" s="44"/>
      <c r="W16" s="44"/>
    </row>
    <row r="17" spans="1:23">
      <c r="A17" s="62" t="s">
        <v>130</v>
      </c>
      <c r="B17" s="24">
        <v>6</v>
      </c>
      <c r="C17" s="24">
        <v>9.5</v>
      </c>
      <c r="D17" s="24">
        <v>3.4</v>
      </c>
      <c r="E17" s="24">
        <f t="shared" si="2"/>
        <v>77</v>
      </c>
      <c r="F17" s="24">
        <f t="shared" si="0"/>
        <v>261.8</v>
      </c>
      <c r="G17" s="24" t="s">
        <v>120</v>
      </c>
      <c r="H17" s="20"/>
      <c r="I17" s="20"/>
      <c r="J17" s="62" t="s">
        <v>130</v>
      </c>
      <c r="K17" s="63"/>
      <c r="L17" s="64"/>
      <c r="M17" s="44">
        <f t="shared" si="3"/>
        <v>1833.9831999999999</v>
      </c>
      <c r="N17" s="44">
        <f t="shared" si="4"/>
        <v>1833.9831999999999</v>
      </c>
      <c r="O17" s="44" t="str">
        <f t="shared" si="1"/>
        <v>Cr</v>
      </c>
      <c r="P17" s="44">
        <f t="shared" si="5"/>
        <v>23.529999999999998</v>
      </c>
      <c r="Q17" s="44"/>
      <c r="S17" s="44"/>
      <c r="T17" s="44"/>
      <c r="U17" s="44"/>
      <c r="V17" s="44"/>
      <c r="W17" s="44"/>
    </row>
    <row r="18" spans="1:23">
      <c r="A18" s="62" t="s">
        <v>131</v>
      </c>
      <c r="B18" s="24">
        <v>6.3</v>
      </c>
      <c r="C18" s="24">
        <v>9.1999999999999993</v>
      </c>
      <c r="D18" s="24">
        <v>3.4</v>
      </c>
      <c r="E18" s="24">
        <f t="shared" si="2"/>
        <v>77.75</v>
      </c>
      <c r="F18" s="24">
        <f t="shared" si="0"/>
        <v>264.34999999999997</v>
      </c>
      <c r="G18" s="24" t="s">
        <v>120</v>
      </c>
      <c r="H18" s="20"/>
      <c r="I18" s="20"/>
      <c r="J18" s="62" t="s">
        <v>131</v>
      </c>
      <c r="K18" s="63"/>
      <c r="L18" s="64"/>
      <c r="M18" s="44">
        <f t="shared" si="3"/>
        <v>2098.3332</v>
      </c>
      <c r="N18" s="44">
        <f t="shared" si="4"/>
        <v>2098.3332</v>
      </c>
      <c r="O18" s="44" t="str">
        <f t="shared" si="1"/>
        <v>Cr</v>
      </c>
      <c r="P18" s="44">
        <f t="shared" si="5"/>
        <v>26.929999999999996</v>
      </c>
      <c r="Q18" s="44"/>
    </row>
    <row r="19" spans="1:23">
      <c r="A19" s="62" t="s">
        <v>132</v>
      </c>
      <c r="B19" s="24">
        <v>6</v>
      </c>
      <c r="C19" s="24">
        <v>9.5</v>
      </c>
      <c r="D19" s="24">
        <v>3</v>
      </c>
      <c r="E19" s="24">
        <f t="shared" si="2"/>
        <v>77</v>
      </c>
      <c r="F19" s="24">
        <f t="shared" si="0"/>
        <v>231</v>
      </c>
      <c r="G19" s="24" t="s">
        <v>120</v>
      </c>
      <c r="H19" s="20"/>
      <c r="I19" s="20"/>
      <c r="J19" s="62" t="s">
        <v>132</v>
      </c>
      <c r="K19" s="63"/>
      <c r="L19" s="64"/>
      <c r="M19" s="44">
        <f t="shared" si="3"/>
        <v>2329.3332</v>
      </c>
      <c r="N19" s="44">
        <f t="shared" si="4"/>
        <v>2329.3332</v>
      </c>
      <c r="O19" s="44" t="str">
        <f t="shared" si="1"/>
        <v>Cr</v>
      </c>
      <c r="P19" s="44">
        <f t="shared" si="5"/>
        <v>29.929999999999996</v>
      </c>
      <c r="Q19" s="44"/>
    </row>
    <row r="20" spans="1:23">
      <c r="A20" s="62" t="s">
        <v>133</v>
      </c>
      <c r="B20" s="24">
        <v>6.2</v>
      </c>
      <c r="C20" s="24">
        <v>9.3000000000000007</v>
      </c>
      <c r="D20" s="24">
        <v>3.2</v>
      </c>
      <c r="E20" s="24">
        <f t="shared" si="2"/>
        <v>77.5</v>
      </c>
      <c r="F20" s="24">
        <f t="shared" si="0"/>
        <v>248</v>
      </c>
      <c r="G20" s="24" t="s">
        <v>120</v>
      </c>
      <c r="H20" s="20"/>
      <c r="I20" s="20"/>
      <c r="J20" s="62" t="s">
        <v>133</v>
      </c>
      <c r="K20" s="63"/>
      <c r="L20" s="64"/>
      <c r="M20" s="44">
        <f t="shared" si="3"/>
        <v>2577.3332</v>
      </c>
      <c r="N20" s="44">
        <f t="shared" si="4"/>
        <v>2577.3332</v>
      </c>
      <c r="O20" s="44" t="str">
        <f t="shared" si="1"/>
        <v>Cr</v>
      </c>
      <c r="P20" s="44">
        <f t="shared" si="5"/>
        <v>33.129999999999995</v>
      </c>
      <c r="Q20" s="44"/>
    </row>
    <row r="21" spans="1:23">
      <c r="A21" s="62" t="s">
        <v>134</v>
      </c>
      <c r="B21" s="24">
        <v>6</v>
      </c>
      <c r="C21" s="24">
        <v>8.02</v>
      </c>
      <c r="D21" s="24">
        <v>3</v>
      </c>
      <c r="E21" s="24">
        <f t="shared" si="2"/>
        <v>71.08</v>
      </c>
      <c r="F21" s="24">
        <f t="shared" si="0"/>
        <v>213.24</v>
      </c>
      <c r="G21" s="24" t="s">
        <v>120</v>
      </c>
      <c r="H21" s="20"/>
      <c r="I21" s="20"/>
      <c r="J21" s="62" t="s">
        <v>134</v>
      </c>
      <c r="K21" s="63"/>
      <c r="L21" s="64"/>
      <c r="M21" s="44">
        <f t="shared" si="3"/>
        <v>2790.5731999999998</v>
      </c>
      <c r="N21" s="44">
        <f t="shared" si="4"/>
        <v>2790.5731999999998</v>
      </c>
      <c r="O21" s="44" t="str">
        <f t="shared" si="1"/>
        <v>Cr</v>
      </c>
      <c r="P21" s="44">
        <f t="shared" si="5"/>
        <v>36.129999999999995</v>
      </c>
      <c r="Q21" s="44"/>
    </row>
    <row r="22" spans="1:23">
      <c r="A22" s="62" t="s">
        <v>135</v>
      </c>
      <c r="B22" s="24">
        <v>6.48</v>
      </c>
      <c r="C22" s="24">
        <v>9.26</v>
      </c>
      <c r="D22" s="24">
        <v>3.5</v>
      </c>
      <c r="E22" s="24">
        <f t="shared" si="2"/>
        <v>79.16</v>
      </c>
      <c r="F22" s="24">
        <f t="shared" si="0"/>
        <v>277.06</v>
      </c>
      <c r="G22" s="24" t="s">
        <v>120</v>
      </c>
      <c r="H22" s="20"/>
      <c r="I22" s="20"/>
      <c r="J22" s="62" t="s">
        <v>135</v>
      </c>
      <c r="K22" s="63"/>
      <c r="L22" s="64"/>
      <c r="M22" s="44">
        <f t="shared" si="3"/>
        <v>3067.6331999999998</v>
      </c>
      <c r="N22" s="44">
        <f t="shared" si="4"/>
        <v>3067.6331999999998</v>
      </c>
      <c r="O22" s="44" t="str">
        <f t="shared" si="1"/>
        <v>Cr</v>
      </c>
      <c r="P22" s="44">
        <f t="shared" si="5"/>
        <v>39.629999999999995</v>
      </c>
      <c r="Q22" s="44"/>
    </row>
    <row r="23" spans="1:23">
      <c r="A23" s="62" t="s">
        <v>136</v>
      </c>
      <c r="B23" s="24">
        <v>6.49</v>
      </c>
      <c r="C23" s="24">
        <v>9.19</v>
      </c>
      <c r="D23" s="24">
        <v>3.6</v>
      </c>
      <c r="E23" s="24">
        <f t="shared" si="2"/>
        <v>78.944999999999993</v>
      </c>
      <c r="F23" s="24">
        <f t="shared" si="0"/>
        <v>284.202</v>
      </c>
      <c r="G23" s="24" t="s">
        <v>120</v>
      </c>
      <c r="H23" s="20"/>
      <c r="I23" s="20"/>
      <c r="J23" s="62" t="s">
        <v>136</v>
      </c>
      <c r="K23" s="63"/>
      <c r="L23" s="64">
        <v>3354</v>
      </c>
      <c r="M23" s="44">
        <f t="shared" si="3"/>
        <v>3351.8351999999995</v>
      </c>
      <c r="N23" s="44">
        <f t="shared" si="4"/>
        <v>-2.1648000000004686</v>
      </c>
      <c r="O23" s="44" t="str">
        <f t="shared" si="1"/>
        <v>Dr</v>
      </c>
      <c r="P23" s="44">
        <f t="shared" si="5"/>
        <v>43.23</v>
      </c>
      <c r="Q23" s="44"/>
    </row>
    <row r="24" spans="1:23">
      <c r="A24" s="73" t="s">
        <v>138</v>
      </c>
      <c r="B24" s="75">
        <v>6.96</v>
      </c>
      <c r="C24" s="75">
        <v>9.26</v>
      </c>
      <c r="D24" s="75">
        <v>3.6</v>
      </c>
      <c r="E24" s="75">
        <f t="shared" si="2"/>
        <v>82.28</v>
      </c>
      <c r="F24" s="75">
        <f t="shared" si="0"/>
        <v>296.20800000000003</v>
      </c>
      <c r="G24" s="75" t="s">
        <v>120</v>
      </c>
      <c r="H24" s="20"/>
      <c r="I24" s="20"/>
      <c r="J24" s="73" t="s">
        <v>138</v>
      </c>
      <c r="K24" s="76"/>
      <c r="L24" s="77"/>
      <c r="M24" s="78">
        <f>(M23+F24)</f>
        <v>3648.0431999999996</v>
      </c>
      <c r="N24" s="78">
        <f t="shared" si="4"/>
        <v>294.04319999999956</v>
      </c>
      <c r="O24" s="78" t="str">
        <f t="shared" si="1"/>
        <v>Cr</v>
      </c>
      <c r="P24" s="78">
        <f t="shared" si="5"/>
        <v>46.83</v>
      </c>
      <c r="Q24" s="78"/>
    </row>
    <row r="25" spans="1:23">
      <c r="A25" s="62" t="s">
        <v>139</v>
      </c>
      <c r="B25" s="24">
        <v>6.45</v>
      </c>
      <c r="C25" s="24">
        <v>9</v>
      </c>
      <c r="D25" s="24">
        <v>3.5</v>
      </c>
      <c r="E25" s="24">
        <f t="shared" si="2"/>
        <v>77.925000000000011</v>
      </c>
      <c r="F25" s="24">
        <f t="shared" si="0"/>
        <v>272.73750000000007</v>
      </c>
      <c r="G25" s="24" t="s">
        <v>120</v>
      </c>
      <c r="H25" s="20"/>
      <c r="I25" s="20"/>
      <c r="J25" s="62" t="s">
        <v>139</v>
      </c>
      <c r="K25" s="63"/>
      <c r="L25" s="64"/>
      <c r="M25" s="44">
        <f t="shared" si="3"/>
        <v>3920.7806999999998</v>
      </c>
      <c r="N25" s="44">
        <f t="shared" si="4"/>
        <v>566.78069999999957</v>
      </c>
      <c r="O25" s="44" t="str">
        <f t="shared" si="1"/>
        <v>Cr</v>
      </c>
      <c r="P25" s="44">
        <f t="shared" si="5"/>
        <v>50.33</v>
      </c>
      <c r="Q25" s="44"/>
    </row>
    <row r="26" spans="1:23">
      <c r="A26" s="62" t="s">
        <v>140</v>
      </c>
      <c r="B26" s="24">
        <v>6.22</v>
      </c>
      <c r="C26" s="24">
        <v>9</v>
      </c>
      <c r="D26" s="24">
        <v>3.5</v>
      </c>
      <c r="E26" s="24">
        <f t="shared" si="2"/>
        <v>76.430000000000007</v>
      </c>
      <c r="F26" s="24">
        <f t="shared" si="0"/>
        <v>267.505</v>
      </c>
      <c r="G26" s="24" t="s">
        <v>120</v>
      </c>
      <c r="H26" s="20"/>
      <c r="I26" s="20"/>
      <c r="J26" s="62" t="s">
        <v>140</v>
      </c>
      <c r="K26" s="63"/>
      <c r="L26" s="64"/>
      <c r="M26" s="44">
        <f t="shared" si="3"/>
        <v>4188.2856999999995</v>
      </c>
      <c r="N26" s="44">
        <f t="shared" si="4"/>
        <v>834.28569999999957</v>
      </c>
      <c r="O26" s="44" t="str">
        <f t="shared" si="1"/>
        <v>Cr</v>
      </c>
      <c r="P26" s="44">
        <f t="shared" si="5"/>
        <v>53.83</v>
      </c>
      <c r="Q26" s="44"/>
    </row>
    <row r="27" spans="1:23">
      <c r="A27" s="66" t="s">
        <v>141</v>
      </c>
      <c r="B27" s="68"/>
      <c r="C27" s="68"/>
      <c r="D27" s="68"/>
      <c r="E27" s="68">
        <f t="shared" si="2"/>
        <v>0</v>
      </c>
      <c r="F27" s="68">
        <f t="shared" si="0"/>
        <v>0</v>
      </c>
      <c r="G27" s="68" t="s">
        <v>155</v>
      </c>
      <c r="H27" s="20"/>
      <c r="I27" s="20"/>
      <c r="J27" s="66" t="s">
        <v>141</v>
      </c>
      <c r="K27" s="63"/>
      <c r="L27" s="64"/>
      <c r="M27" s="44">
        <f t="shared" si="3"/>
        <v>4188.2856999999995</v>
      </c>
      <c r="N27" s="44">
        <f t="shared" si="4"/>
        <v>834.28569999999957</v>
      </c>
      <c r="O27" s="44" t="str">
        <f t="shared" si="1"/>
        <v>Cr</v>
      </c>
      <c r="P27" s="44">
        <f t="shared" si="5"/>
        <v>53.83</v>
      </c>
      <c r="Q27" s="44"/>
    </row>
    <row r="28" spans="1:23">
      <c r="A28" s="62" t="s">
        <v>142</v>
      </c>
      <c r="B28" s="24">
        <v>6.2</v>
      </c>
      <c r="C28" s="24">
        <v>9.1</v>
      </c>
      <c r="D28" s="24">
        <v>3.5</v>
      </c>
      <c r="E28" s="24">
        <f t="shared" si="2"/>
        <v>76.7</v>
      </c>
      <c r="F28" s="24">
        <f t="shared" si="0"/>
        <v>268.45</v>
      </c>
      <c r="G28" s="24" t="s">
        <v>120</v>
      </c>
      <c r="H28" s="20"/>
      <c r="I28" s="20"/>
      <c r="J28" s="62" t="s">
        <v>142</v>
      </c>
      <c r="K28" s="63"/>
      <c r="L28" s="64"/>
      <c r="M28" s="44">
        <f t="shared" si="3"/>
        <v>4456.7356999999993</v>
      </c>
      <c r="N28" s="44">
        <f t="shared" si="4"/>
        <v>1102.7356999999995</v>
      </c>
      <c r="O28" s="44" t="str">
        <f t="shared" si="1"/>
        <v>Cr</v>
      </c>
      <c r="P28" s="44">
        <f t="shared" si="5"/>
        <v>57.33</v>
      </c>
      <c r="Q28" s="44"/>
    </row>
    <row r="29" spans="1:23">
      <c r="A29" s="62" t="s">
        <v>143</v>
      </c>
      <c r="B29" s="24">
        <v>5.81</v>
      </c>
      <c r="C29" s="24">
        <v>9.3699999999999992</v>
      </c>
      <c r="D29" s="24">
        <v>3.3</v>
      </c>
      <c r="E29" s="24">
        <f t="shared" si="2"/>
        <v>75.245000000000005</v>
      </c>
      <c r="F29" s="24">
        <f t="shared" si="0"/>
        <v>248.30850000000001</v>
      </c>
      <c r="G29" s="24" t="s">
        <v>120</v>
      </c>
      <c r="H29" s="20"/>
      <c r="I29" s="20"/>
      <c r="J29" s="62" t="s">
        <v>143</v>
      </c>
      <c r="K29" s="63"/>
      <c r="L29" s="64"/>
      <c r="M29" s="44">
        <f t="shared" si="3"/>
        <v>4705.0441999999994</v>
      </c>
      <c r="N29" s="44">
        <f t="shared" si="4"/>
        <v>1351.0441999999996</v>
      </c>
      <c r="O29" s="44" t="str">
        <f t="shared" si="1"/>
        <v>Cr</v>
      </c>
      <c r="P29" s="44">
        <f t="shared" si="5"/>
        <v>60.629999999999995</v>
      </c>
      <c r="Q29" s="44"/>
    </row>
    <row r="30" spans="1:23">
      <c r="A30" s="66" t="s">
        <v>144</v>
      </c>
      <c r="B30" s="68"/>
      <c r="C30" s="68"/>
      <c r="D30" s="68"/>
      <c r="E30" s="68">
        <f t="shared" si="2"/>
        <v>0</v>
      </c>
      <c r="F30" s="68">
        <f t="shared" si="0"/>
        <v>0</v>
      </c>
      <c r="G30" s="68" t="s">
        <v>155</v>
      </c>
      <c r="H30" s="20"/>
      <c r="I30" s="20"/>
      <c r="J30" s="66" t="s">
        <v>144</v>
      </c>
      <c r="K30" s="63"/>
      <c r="L30" s="64"/>
      <c r="M30" s="44">
        <f t="shared" si="3"/>
        <v>4705.0441999999994</v>
      </c>
      <c r="N30" s="44">
        <f t="shared" si="4"/>
        <v>1351.0441999999996</v>
      </c>
      <c r="O30" s="44" t="str">
        <f t="shared" si="1"/>
        <v>Cr</v>
      </c>
      <c r="P30" s="44">
        <f t="shared" si="5"/>
        <v>60.629999999999995</v>
      </c>
      <c r="Q30" s="44"/>
    </row>
    <row r="31" spans="1:23">
      <c r="A31" s="62" t="s">
        <v>145</v>
      </c>
      <c r="B31" s="24">
        <v>4.87</v>
      </c>
      <c r="C31" s="24">
        <v>10</v>
      </c>
      <c r="D31" s="24">
        <v>3.1</v>
      </c>
      <c r="E31" s="24">
        <f t="shared" si="2"/>
        <v>71.655000000000001</v>
      </c>
      <c r="F31" s="24">
        <f t="shared" si="0"/>
        <v>222.13050000000001</v>
      </c>
      <c r="G31" s="24" t="s">
        <v>120</v>
      </c>
      <c r="H31" s="20"/>
      <c r="I31" s="20"/>
      <c r="J31" s="62" t="s">
        <v>145</v>
      </c>
      <c r="K31" s="63"/>
      <c r="L31" s="64"/>
      <c r="M31" s="44">
        <f t="shared" si="3"/>
        <v>4927.1746999999996</v>
      </c>
      <c r="N31" s="44">
        <f t="shared" si="4"/>
        <v>1573.1746999999996</v>
      </c>
      <c r="O31" s="44" t="str">
        <f t="shared" si="1"/>
        <v>Cr</v>
      </c>
      <c r="P31" s="44">
        <f t="shared" si="5"/>
        <v>63.73</v>
      </c>
      <c r="Q31" s="44"/>
    </row>
    <row r="32" spans="1:23">
      <c r="A32" s="62" t="s">
        <v>146</v>
      </c>
      <c r="B32" s="24">
        <v>6.44</v>
      </c>
      <c r="C32" s="24">
        <v>9.8000000000000007</v>
      </c>
      <c r="D32" s="24">
        <v>3.5</v>
      </c>
      <c r="E32" s="24">
        <f t="shared" si="2"/>
        <v>81.06</v>
      </c>
      <c r="F32" s="24">
        <f t="shared" si="0"/>
        <v>283.71000000000004</v>
      </c>
      <c r="G32" s="24" t="s">
        <v>120</v>
      </c>
      <c r="H32" s="20"/>
      <c r="I32" s="20"/>
      <c r="J32" s="62" t="s">
        <v>146</v>
      </c>
      <c r="K32" s="63"/>
      <c r="L32" s="64"/>
      <c r="M32" s="44">
        <f t="shared" si="3"/>
        <v>5210.8846999999996</v>
      </c>
      <c r="N32" s="44">
        <f t="shared" si="4"/>
        <v>1856.8846999999996</v>
      </c>
      <c r="O32" s="44" t="str">
        <f t="shared" si="1"/>
        <v>Cr</v>
      </c>
      <c r="P32" s="44">
        <f t="shared" si="5"/>
        <v>67.22999999999999</v>
      </c>
      <c r="Q32" s="44"/>
    </row>
    <row r="33" spans="1:17">
      <c r="A33" s="62" t="s">
        <v>147</v>
      </c>
      <c r="B33" s="24">
        <v>6.4</v>
      </c>
      <c r="C33" s="24">
        <v>9.6999999999999993</v>
      </c>
      <c r="D33" s="24">
        <v>3.5</v>
      </c>
      <c r="E33" s="24">
        <f t="shared" si="2"/>
        <v>80.400000000000006</v>
      </c>
      <c r="F33" s="24">
        <f t="shared" si="0"/>
        <v>281.40000000000003</v>
      </c>
      <c r="G33" s="24" t="s">
        <v>120</v>
      </c>
      <c r="H33" s="20"/>
      <c r="I33" s="20"/>
      <c r="J33" s="62" t="s">
        <v>147</v>
      </c>
      <c r="K33" s="63"/>
      <c r="L33" s="64">
        <v>2000</v>
      </c>
      <c r="M33" s="44">
        <f t="shared" si="3"/>
        <v>5492.2846999999992</v>
      </c>
      <c r="N33" s="44">
        <f>(N32+F33-L33)</f>
        <v>138.2846999999997</v>
      </c>
      <c r="O33" s="44" t="str">
        <f t="shared" si="1"/>
        <v>Cr</v>
      </c>
      <c r="P33" s="44">
        <f t="shared" si="5"/>
        <v>70.72999999999999</v>
      </c>
      <c r="Q33" s="44"/>
    </row>
    <row r="34" spans="1:17">
      <c r="A34" s="62" t="s">
        <v>148</v>
      </c>
      <c r="B34" s="24">
        <v>6.3</v>
      </c>
      <c r="C34" s="24">
        <v>9.08</v>
      </c>
      <c r="D34" s="24">
        <v>3.4</v>
      </c>
      <c r="E34" s="24">
        <f t="shared" si="2"/>
        <v>77.27</v>
      </c>
      <c r="F34" s="24">
        <f t="shared" si="0"/>
        <v>262.71799999999996</v>
      </c>
      <c r="G34" s="24" t="s">
        <v>120</v>
      </c>
      <c r="H34" s="20"/>
      <c r="I34" s="20"/>
      <c r="J34" s="62" t="s">
        <v>148</v>
      </c>
      <c r="K34" s="63"/>
      <c r="L34" s="64"/>
      <c r="M34" s="44">
        <f t="shared" si="3"/>
        <v>5755.0026999999991</v>
      </c>
      <c r="N34" s="44">
        <f t="shared" si="4"/>
        <v>401.00269999999966</v>
      </c>
      <c r="O34" s="44" t="str">
        <f t="shared" si="1"/>
        <v>Cr</v>
      </c>
      <c r="P34" s="44">
        <f t="shared" si="5"/>
        <v>74.13</v>
      </c>
      <c r="Q34" s="44"/>
    </row>
    <row r="35" spans="1:17">
      <c r="A35" s="62" t="s">
        <v>149</v>
      </c>
      <c r="B35" s="93">
        <v>5.57</v>
      </c>
      <c r="C35" s="93">
        <v>8.9700000000000006</v>
      </c>
      <c r="D35" s="93">
        <v>3.5</v>
      </c>
      <c r="E35" s="24">
        <f t="shared" si="2"/>
        <v>72.085000000000008</v>
      </c>
      <c r="F35" s="24">
        <f t="shared" si="0"/>
        <v>252.29750000000001</v>
      </c>
      <c r="G35" s="93" t="s">
        <v>120</v>
      </c>
      <c r="H35" s="20"/>
      <c r="I35" s="20"/>
      <c r="J35" s="62" t="s">
        <v>149</v>
      </c>
      <c r="K35" s="63"/>
      <c r="L35" s="64"/>
      <c r="M35" s="44">
        <f t="shared" si="3"/>
        <v>6007.3001999999988</v>
      </c>
      <c r="N35" s="44">
        <f t="shared" si="4"/>
        <v>653.30019999999968</v>
      </c>
      <c r="O35" s="44" t="str">
        <f t="shared" si="1"/>
        <v>Cr</v>
      </c>
      <c r="P35" s="44">
        <f t="shared" si="5"/>
        <v>77.63</v>
      </c>
      <c r="Q35" s="44"/>
    </row>
    <row r="36" spans="1:17">
      <c r="A36" s="62" t="s">
        <v>150</v>
      </c>
      <c r="B36" s="24">
        <v>5.91</v>
      </c>
      <c r="C36" s="24">
        <v>9.1300000000000008</v>
      </c>
      <c r="D36" s="24">
        <v>3.6</v>
      </c>
      <c r="E36" s="24">
        <f t="shared" si="2"/>
        <v>74.935000000000002</v>
      </c>
      <c r="F36" s="24">
        <f t="shared" si="0"/>
        <v>269.76600000000002</v>
      </c>
      <c r="G36" s="24" t="s">
        <v>120</v>
      </c>
      <c r="H36" s="20"/>
      <c r="I36" s="20"/>
      <c r="J36" s="62" t="s">
        <v>150</v>
      </c>
      <c r="K36" s="63"/>
      <c r="L36" s="64"/>
      <c r="M36" s="44">
        <f t="shared" si="3"/>
        <v>6277.0661999999984</v>
      </c>
      <c r="N36" s="44">
        <f t="shared" si="4"/>
        <v>923.06619999999975</v>
      </c>
      <c r="O36" s="44" t="str">
        <f t="shared" si="1"/>
        <v>Cr</v>
      </c>
      <c r="P36" s="44">
        <f t="shared" si="5"/>
        <v>81.22999999999999</v>
      </c>
      <c r="Q36" s="44"/>
    </row>
    <row r="37" spans="1:17">
      <c r="A37" s="62" t="s">
        <v>151</v>
      </c>
      <c r="B37" s="24">
        <v>5.61</v>
      </c>
      <c r="C37" s="24">
        <v>9.11</v>
      </c>
      <c r="D37" s="24">
        <v>3.4</v>
      </c>
      <c r="E37" s="24">
        <f t="shared" si="2"/>
        <v>72.905000000000001</v>
      </c>
      <c r="F37" s="24">
        <f t="shared" si="0"/>
        <v>247.87700000000001</v>
      </c>
      <c r="G37" s="24" t="s">
        <v>120</v>
      </c>
      <c r="H37" s="20"/>
      <c r="I37" s="20"/>
      <c r="J37" s="62" t="s">
        <v>151</v>
      </c>
      <c r="K37" s="63"/>
      <c r="L37" s="64"/>
      <c r="M37" s="44">
        <f t="shared" si="3"/>
        <v>6524.9431999999988</v>
      </c>
      <c r="N37" s="44">
        <f t="shared" si="4"/>
        <v>1170.9431999999997</v>
      </c>
      <c r="O37" s="44" t="str">
        <f t="shared" si="1"/>
        <v>Cr</v>
      </c>
      <c r="P37" s="44">
        <f t="shared" si="5"/>
        <v>84.63</v>
      </c>
      <c r="Q37" s="44"/>
    </row>
    <row r="38" spans="1:17">
      <c r="A38" s="62" t="s">
        <v>152</v>
      </c>
      <c r="B38" s="24">
        <v>5</v>
      </c>
      <c r="C38" s="24">
        <v>10</v>
      </c>
      <c r="D38" s="24">
        <v>3.1</v>
      </c>
      <c r="E38" s="24">
        <f t="shared" si="2"/>
        <v>72.5</v>
      </c>
      <c r="F38" s="24">
        <f t="shared" si="0"/>
        <v>224.75</v>
      </c>
      <c r="G38" s="24" t="s">
        <v>120</v>
      </c>
      <c r="H38" s="20"/>
      <c r="I38" s="20"/>
      <c r="J38" s="62" t="s">
        <v>152</v>
      </c>
      <c r="K38" s="63"/>
      <c r="L38" s="64">
        <v>1400</v>
      </c>
      <c r="M38" s="44">
        <f t="shared" si="3"/>
        <v>6749.6931999999988</v>
      </c>
      <c r="N38" s="44">
        <f>(N37+F38-L38)</f>
        <v>-4.3068000000002939</v>
      </c>
      <c r="O38" s="44" t="str">
        <f t="shared" si="1"/>
        <v>Dr</v>
      </c>
      <c r="P38" s="44">
        <f t="shared" si="5"/>
        <v>87.72999999999999</v>
      </c>
      <c r="Q38" s="44"/>
    </row>
    <row r="39" spans="1:17">
      <c r="A39" s="62" t="s">
        <v>153</v>
      </c>
      <c r="B39" s="24">
        <v>6.6</v>
      </c>
      <c r="C39" s="24">
        <v>9</v>
      </c>
      <c r="D39" s="24">
        <v>3.4</v>
      </c>
      <c r="E39" s="24">
        <f t="shared" si="2"/>
        <v>78.900000000000006</v>
      </c>
      <c r="F39" s="24">
        <f t="shared" si="0"/>
        <v>268.26</v>
      </c>
      <c r="G39" s="24" t="s">
        <v>120</v>
      </c>
      <c r="H39" s="20"/>
      <c r="I39" s="20"/>
      <c r="J39" s="62" t="s">
        <v>153</v>
      </c>
      <c r="K39" s="63"/>
      <c r="L39" s="64"/>
      <c r="M39" s="44">
        <f t="shared" si="3"/>
        <v>7017.953199999999</v>
      </c>
      <c r="N39" s="44">
        <f t="shared" si="4"/>
        <v>263.9531999999997</v>
      </c>
      <c r="O39" s="44" t="str">
        <f t="shared" si="1"/>
        <v>Cr</v>
      </c>
      <c r="P39" s="44">
        <f t="shared" si="5"/>
        <v>91.13</v>
      </c>
      <c r="Q39" s="44"/>
    </row>
    <row r="40" spans="1:17">
      <c r="A40" s="62" t="s">
        <v>154</v>
      </c>
      <c r="B40" s="24">
        <v>6.8</v>
      </c>
      <c r="C40" s="24">
        <v>9.1999999999999993</v>
      </c>
      <c r="D40" s="24">
        <v>3.1</v>
      </c>
      <c r="E40" s="24">
        <f t="shared" si="2"/>
        <v>81</v>
      </c>
      <c r="F40" s="24">
        <f t="shared" si="0"/>
        <v>251.1</v>
      </c>
      <c r="G40" s="24" t="s">
        <v>120</v>
      </c>
      <c r="H40" s="20"/>
      <c r="I40" s="20"/>
      <c r="J40" s="62" t="s">
        <v>154</v>
      </c>
      <c r="K40" s="63"/>
      <c r="L40" s="64"/>
      <c r="M40" s="44">
        <f t="shared" ref="M40:M53" si="6">(M39+F40)</f>
        <v>7269.0531999999994</v>
      </c>
      <c r="N40" s="44">
        <f t="shared" si="4"/>
        <v>515.05319999999972</v>
      </c>
      <c r="O40" s="44" t="str">
        <f t="shared" si="1"/>
        <v>Cr</v>
      </c>
      <c r="P40" s="44">
        <f t="shared" ref="P40:P50" si="7">(P39+D40)</f>
        <v>94.22999999999999</v>
      </c>
      <c r="Q40" s="44"/>
    </row>
    <row r="41" spans="1:17">
      <c r="A41" s="62" t="s">
        <v>156</v>
      </c>
      <c r="B41" s="24">
        <v>5.9</v>
      </c>
      <c r="C41" s="24">
        <v>9</v>
      </c>
      <c r="D41" s="24">
        <v>3.2</v>
      </c>
      <c r="E41" s="24">
        <f t="shared" si="2"/>
        <v>74.349999999999994</v>
      </c>
      <c r="F41" s="24">
        <f t="shared" si="0"/>
        <v>237.92</v>
      </c>
      <c r="G41" s="24" t="s">
        <v>120</v>
      </c>
      <c r="H41" s="20"/>
      <c r="I41" s="20"/>
      <c r="J41" s="62" t="s">
        <v>156</v>
      </c>
      <c r="K41" s="63"/>
      <c r="L41" s="64"/>
      <c r="M41" s="44">
        <f t="shared" si="6"/>
        <v>7506.9731999999995</v>
      </c>
      <c r="N41" s="44">
        <f t="shared" si="4"/>
        <v>752.97319999999968</v>
      </c>
      <c r="O41" s="44" t="str">
        <f t="shared" si="1"/>
        <v>Cr</v>
      </c>
      <c r="P41" s="44">
        <f t="shared" si="7"/>
        <v>97.429999999999993</v>
      </c>
      <c r="Q41" s="44"/>
    </row>
    <row r="42" spans="1:17">
      <c r="A42" s="62" t="s">
        <v>157</v>
      </c>
      <c r="B42" s="24">
        <v>6.4</v>
      </c>
      <c r="C42" s="24">
        <v>7.5</v>
      </c>
      <c r="D42" s="24">
        <v>3</v>
      </c>
      <c r="E42" s="24">
        <f t="shared" si="2"/>
        <v>71.599999999999994</v>
      </c>
      <c r="F42" s="24">
        <f t="shared" si="0"/>
        <v>214.79999999999998</v>
      </c>
      <c r="G42" s="24" t="s">
        <v>120</v>
      </c>
      <c r="H42" s="20"/>
      <c r="I42" s="20"/>
      <c r="J42" s="62" t="s">
        <v>157</v>
      </c>
      <c r="K42" s="63"/>
      <c r="L42" s="64"/>
      <c r="M42" s="44">
        <f t="shared" si="6"/>
        <v>7721.7731999999996</v>
      </c>
      <c r="N42" s="44">
        <f t="shared" si="4"/>
        <v>967.77319999999963</v>
      </c>
      <c r="O42" s="44" t="str">
        <f t="shared" si="1"/>
        <v>Cr</v>
      </c>
      <c r="P42" s="44">
        <f t="shared" si="7"/>
        <v>100.42999999999999</v>
      </c>
      <c r="Q42" s="44"/>
    </row>
    <row r="43" spans="1:17">
      <c r="A43" s="62" t="s">
        <v>158</v>
      </c>
      <c r="B43" s="24">
        <v>5.9</v>
      </c>
      <c r="C43" s="24">
        <v>7.1</v>
      </c>
      <c r="D43" s="24">
        <v>3.5</v>
      </c>
      <c r="E43" s="24">
        <f t="shared" si="2"/>
        <v>66.75</v>
      </c>
      <c r="F43" s="24">
        <f t="shared" si="0"/>
        <v>233.625</v>
      </c>
      <c r="G43" s="24" t="s">
        <v>120</v>
      </c>
      <c r="H43" s="20"/>
      <c r="I43" s="20"/>
      <c r="J43" s="62" t="s">
        <v>158</v>
      </c>
      <c r="K43" s="63"/>
      <c r="L43" s="64"/>
      <c r="M43" s="44">
        <f t="shared" si="6"/>
        <v>7955.3981999999996</v>
      </c>
      <c r="N43" s="44">
        <f>(N42+F43-L43)</f>
        <v>1201.3981999999996</v>
      </c>
      <c r="O43" s="44" t="str">
        <f t="shared" si="1"/>
        <v>Cr</v>
      </c>
      <c r="P43" s="44">
        <f t="shared" si="7"/>
        <v>103.92999999999999</v>
      </c>
      <c r="Q43" s="44"/>
    </row>
    <row r="44" spans="1:17">
      <c r="A44" s="66" t="s">
        <v>159</v>
      </c>
      <c r="B44" s="68"/>
      <c r="C44" s="68"/>
      <c r="D44" s="68"/>
      <c r="E44" s="68">
        <f t="shared" si="2"/>
        <v>0</v>
      </c>
      <c r="F44" s="68">
        <f t="shared" si="0"/>
        <v>0</v>
      </c>
      <c r="G44" s="68" t="s">
        <v>155</v>
      </c>
      <c r="H44" s="20"/>
      <c r="I44" s="20"/>
      <c r="J44" s="66" t="s">
        <v>159</v>
      </c>
      <c r="K44" s="63"/>
      <c r="L44" s="64"/>
      <c r="M44" s="44">
        <f t="shared" si="6"/>
        <v>7955.3981999999996</v>
      </c>
      <c r="N44" s="44">
        <f t="shared" si="4"/>
        <v>1201.3981999999996</v>
      </c>
      <c r="O44" s="44" t="str">
        <f t="shared" si="1"/>
        <v>Cr</v>
      </c>
      <c r="P44" s="44">
        <f t="shared" si="7"/>
        <v>103.92999999999999</v>
      </c>
      <c r="Q44" s="44"/>
    </row>
    <row r="45" spans="1:17">
      <c r="A45" s="62" t="s">
        <v>160</v>
      </c>
      <c r="B45" s="24">
        <v>6.8</v>
      </c>
      <c r="C45" s="24">
        <v>9</v>
      </c>
      <c r="D45" s="24">
        <v>3.4</v>
      </c>
      <c r="E45" s="24">
        <f t="shared" si="2"/>
        <v>80.199999999999989</v>
      </c>
      <c r="F45" s="24">
        <f t="shared" si="0"/>
        <v>272.67999999999995</v>
      </c>
      <c r="G45" s="24" t="s">
        <v>120</v>
      </c>
      <c r="H45" s="20"/>
      <c r="I45" s="20"/>
      <c r="J45" s="62" t="s">
        <v>160</v>
      </c>
      <c r="K45" s="63"/>
      <c r="L45" s="64"/>
      <c r="M45" s="44">
        <f t="shared" si="6"/>
        <v>8228.0781999999999</v>
      </c>
      <c r="N45" s="44">
        <f t="shared" si="4"/>
        <v>1474.0781999999995</v>
      </c>
      <c r="O45" s="44" t="str">
        <f t="shared" si="1"/>
        <v>Cr</v>
      </c>
      <c r="P45" s="44">
        <f t="shared" si="7"/>
        <v>107.33</v>
      </c>
      <c r="Q45" s="44"/>
    </row>
    <row r="46" spans="1:17">
      <c r="A46" s="62" t="s">
        <v>161</v>
      </c>
      <c r="B46" s="24">
        <v>5.7</v>
      </c>
      <c r="C46" s="24">
        <v>7.7</v>
      </c>
      <c r="D46" s="24">
        <v>3</v>
      </c>
      <c r="E46" s="24">
        <f t="shared" si="2"/>
        <v>67.850000000000009</v>
      </c>
      <c r="F46" s="24">
        <f t="shared" si="0"/>
        <v>203.55</v>
      </c>
      <c r="G46" s="24" t="s">
        <v>120</v>
      </c>
      <c r="H46" s="20"/>
      <c r="I46" s="20"/>
      <c r="J46" s="62" t="s">
        <v>161</v>
      </c>
      <c r="K46" s="63"/>
      <c r="L46" s="64"/>
      <c r="M46" s="44">
        <f t="shared" si="6"/>
        <v>8431.6281999999992</v>
      </c>
      <c r="N46" s="44">
        <f t="shared" si="4"/>
        <v>1677.6281999999994</v>
      </c>
      <c r="O46" s="44" t="str">
        <f t="shared" si="1"/>
        <v>Cr</v>
      </c>
      <c r="P46" s="44">
        <f t="shared" si="7"/>
        <v>110.33</v>
      </c>
      <c r="Q46" s="44"/>
    </row>
    <row r="47" spans="1:17">
      <c r="A47" s="62" t="s">
        <v>162</v>
      </c>
      <c r="B47" s="24">
        <v>6.4</v>
      </c>
      <c r="C47" s="24">
        <v>8.4</v>
      </c>
      <c r="D47" s="24">
        <v>3.3</v>
      </c>
      <c r="E47" s="24">
        <f t="shared" si="2"/>
        <v>75.2</v>
      </c>
      <c r="F47" s="24">
        <f t="shared" si="0"/>
        <v>248.16</v>
      </c>
      <c r="G47" s="24" t="s">
        <v>120</v>
      </c>
      <c r="H47" s="20"/>
      <c r="I47" s="20"/>
      <c r="J47" s="62" t="s">
        <v>162</v>
      </c>
      <c r="K47" s="63"/>
      <c r="L47" s="64"/>
      <c r="M47" s="44">
        <f t="shared" si="6"/>
        <v>8679.7881999999991</v>
      </c>
      <c r="N47" s="44">
        <f t="shared" si="4"/>
        <v>1925.7881999999995</v>
      </c>
      <c r="O47" s="44" t="str">
        <f t="shared" si="1"/>
        <v>Cr</v>
      </c>
      <c r="P47" s="44">
        <f t="shared" si="7"/>
        <v>113.63</v>
      </c>
      <c r="Q47" s="44"/>
    </row>
    <row r="48" spans="1:17">
      <c r="A48" s="62" t="s">
        <v>163</v>
      </c>
      <c r="B48" s="24">
        <v>6.3</v>
      </c>
      <c r="C48" s="24">
        <v>9.1999999999999993</v>
      </c>
      <c r="D48" s="24">
        <v>3.2</v>
      </c>
      <c r="E48" s="24">
        <f t="shared" si="2"/>
        <v>77.75</v>
      </c>
      <c r="F48" s="24">
        <f t="shared" si="0"/>
        <v>248.8</v>
      </c>
      <c r="G48" s="24" t="s">
        <v>120</v>
      </c>
      <c r="J48" s="62" t="s">
        <v>163</v>
      </c>
      <c r="K48" s="44"/>
      <c r="L48" s="64"/>
      <c r="M48" s="44">
        <f t="shared" si="6"/>
        <v>8928.5881999999983</v>
      </c>
      <c r="N48" s="44">
        <f t="shared" si="4"/>
        <v>2174.5881999999997</v>
      </c>
      <c r="O48" s="44" t="str">
        <f t="shared" si="1"/>
        <v>Cr</v>
      </c>
      <c r="P48" s="44">
        <f t="shared" si="7"/>
        <v>116.83</v>
      </c>
      <c r="Q48" s="44"/>
    </row>
    <row r="49" spans="1:17">
      <c r="A49" s="62" t="s">
        <v>164</v>
      </c>
      <c r="B49" s="24">
        <v>7.5</v>
      </c>
      <c r="C49" s="24">
        <v>8.1</v>
      </c>
      <c r="D49" s="24">
        <v>2.7</v>
      </c>
      <c r="E49" s="24">
        <f t="shared" si="2"/>
        <v>81.150000000000006</v>
      </c>
      <c r="F49" s="24">
        <f t="shared" si="0"/>
        <v>219.10500000000002</v>
      </c>
      <c r="G49" s="24" t="s">
        <v>120</v>
      </c>
      <c r="J49" s="62" t="s">
        <v>164</v>
      </c>
      <c r="K49" s="44"/>
      <c r="L49" s="64"/>
      <c r="M49" s="44">
        <f t="shared" si="6"/>
        <v>9147.6931999999979</v>
      </c>
      <c r="N49" s="44">
        <f t="shared" si="4"/>
        <v>2393.6931999999997</v>
      </c>
      <c r="O49" s="44" t="str">
        <f t="shared" si="1"/>
        <v>Cr</v>
      </c>
      <c r="P49" s="44">
        <f t="shared" si="7"/>
        <v>119.53</v>
      </c>
      <c r="Q49" s="44"/>
    </row>
    <row r="50" spans="1:17">
      <c r="A50" s="62" t="s">
        <v>165</v>
      </c>
      <c r="B50" s="24">
        <v>6.4</v>
      </c>
      <c r="C50" s="24">
        <v>9.8000000000000007</v>
      </c>
      <c r="D50" s="24">
        <v>2.7</v>
      </c>
      <c r="E50" s="24">
        <f t="shared" si="2"/>
        <v>80.800000000000011</v>
      </c>
      <c r="F50" s="24">
        <f t="shared" si="0"/>
        <v>218.16000000000005</v>
      </c>
      <c r="G50" s="24" t="s">
        <v>120</v>
      </c>
      <c r="J50" s="62" t="s">
        <v>165</v>
      </c>
      <c r="K50" s="44"/>
      <c r="L50" s="64">
        <v>2300</v>
      </c>
      <c r="M50" s="44">
        <f t="shared" si="6"/>
        <v>9365.8531999999977</v>
      </c>
      <c r="N50" s="44">
        <f t="shared" si="4"/>
        <v>311.85319999999956</v>
      </c>
      <c r="O50" s="44" t="str">
        <f t="shared" si="1"/>
        <v>Cr</v>
      </c>
      <c r="P50" s="44">
        <f t="shared" si="7"/>
        <v>122.23</v>
      </c>
      <c r="Q50" s="44"/>
    </row>
    <row r="51" spans="1:17">
      <c r="A51" s="62" t="s">
        <v>166</v>
      </c>
      <c r="B51" s="24">
        <v>4.7</v>
      </c>
      <c r="C51" s="24">
        <v>5.7</v>
      </c>
      <c r="D51" s="24">
        <v>3.8</v>
      </c>
      <c r="E51" s="24">
        <f t="shared" si="2"/>
        <v>53.35</v>
      </c>
      <c r="F51" s="24">
        <f t="shared" si="0"/>
        <v>202.73</v>
      </c>
      <c r="G51" s="24" t="s">
        <v>120</v>
      </c>
      <c r="J51" s="62" t="s">
        <v>166</v>
      </c>
      <c r="K51" s="86"/>
      <c r="L51" s="94"/>
      <c r="M51" s="44">
        <f t="shared" si="6"/>
        <v>9568.5831999999973</v>
      </c>
      <c r="N51" s="44">
        <f t="shared" si="4"/>
        <v>514.58319999999958</v>
      </c>
      <c r="O51" s="86"/>
      <c r="P51" s="86"/>
      <c r="Q51" s="86"/>
    </row>
    <row r="52" spans="1:17">
      <c r="A52" s="79" t="s">
        <v>167</v>
      </c>
      <c r="B52" s="80">
        <v>6.6</v>
      </c>
      <c r="C52" s="24">
        <v>9.1</v>
      </c>
      <c r="D52" s="24">
        <v>3.7</v>
      </c>
      <c r="E52" s="24">
        <f t="shared" si="2"/>
        <v>79.3</v>
      </c>
      <c r="F52" s="24">
        <f t="shared" si="0"/>
        <v>293.41000000000003</v>
      </c>
      <c r="G52" s="24" t="s">
        <v>120</v>
      </c>
      <c r="J52" s="79" t="s">
        <v>167</v>
      </c>
      <c r="K52" s="87"/>
      <c r="L52" s="87"/>
      <c r="M52" s="44">
        <f t="shared" si="6"/>
        <v>9861.9931999999972</v>
      </c>
      <c r="N52" s="44">
        <f t="shared" si="4"/>
        <v>807.99319999999966</v>
      </c>
      <c r="O52" s="87"/>
      <c r="P52" s="87"/>
      <c r="Q52" s="87"/>
    </row>
    <row r="53" spans="1:17">
      <c r="A53" s="63" t="s">
        <v>168</v>
      </c>
      <c r="B53" s="44">
        <v>6.9</v>
      </c>
      <c r="C53" s="34">
        <v>8.9</v>
      </c>
      <c r="D53" s="24">
        <v>3.5</v>
      </c>
      <c r="E53" s="24">
        <f t="shared" si="2"/>
        <v>80.45</v>
      </c>
      <c r="F53" s="24">
        <f t="shared" si="0"/>
        <v>281.57499999999999</v>
      </c>
      <c r="G53" s="24" t="s">
        <v>120</v>
      </c>
      <c r="J53" s="63" t="s">
        <v>168</v>
      </c>
      <c r="K53" s="87"/>
      <c r="L53" s="87">
        <v>1100</v>
      </c>
      <c r="M53" s="44">
        <f t="shared" si="6"/>
        <v>10143.568199999998</v>
      </c>
      <c r="N53" s="44">
        <f t="shared" si="4"/>
        <v>-10.431800000000294</v>
      </c>
      <c r="O53" s="87"/>
      <c r="P53" s="87"/>
      <c r="Q53" s="87"/>
    </row>
    <row r="54" spans="1:17">
      <c r="A54" s="83"/>
      <c r="M54" s="44"/>
    </row>
    <row r="55" spans="1:17">
      <c r="A55" s="83"/>
    </row>
    <row r="56" spans="1:17">
      <c r="A56" s="83"/>
    </row>
    <row r="57" spans="1:17">
      <c r="A57" s="83"/>
    </row>
    <row r="58" spans="1:17">
      <c r="A58" s="83"/>
    </row>
    <row r="59" spans="1:17">
      <c r="A59" s="83"/>
    </row>
    <row r="60" spans="1:17">
      <c r="A60" s="83"/>
    </row>
    <row r="61" spans="1:17">
      <c r="A61" s="83"/>
    </row>
    <row r="62" spans="1:17">
      <c r="A62" s="83"/>
    </row>
    <row r="63" spans="1:17">
      <c r="A63" s="83"/>
    </row>
    <row r="64" spans="1:17">
      <c r="A64" s="83"/>
    </row>
    <row r="65" spans="1:1">
      <c r="A65" s="83"/>
    </row>
    <row r="66" spans="1:1">
      <c r="A66" s="83"/>
    </row>
    <row r="67" spans="1:1">
      <c r="A67" s="83"/>
    </row>
    <row r="68" spans="1:1">
      <c r="A68" s="83"/>
    </row>
    <row r="69" spans="1:1">
      <c r="A69" s="20"/>
    </row>
  </sheetData>
  <mergeCells count="1">
    <mergeCell ref="B2:G2"/>
  </mergeCells>
  <hyperlinks>
    <hyperlink ref="F5" location="'Customer Index'!A8" display="Customer Code"/>
    <hyperlink ref="G5" location="'Customer Index'!A10" display="Bas04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6"/>
  <sheetViews>
    <sheetView topLeftCell="A15" zoomScale="85" zoomScaleNormal="85" workbookViewId="0">
      <selection activeCell="L25" sqref="L2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2.8867187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204</v>
      </c>
      <c r="B3" s="51"/>
      <c r="C3" s="51"/>
      <c r="F3" s="52" t="s">
        <v>106</v>
      </c>
      <c r="G3" s="53">
        <v>9706809403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5" t="s">
        <v>30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47" si="0">(B8*6.5+C8*4)</f>
        <v>0</v>
      </c>
      <c r="F8" s="24">
        <f t="shared" ref="F8:F47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 t="shared" ref="N8:N40" si="2">IF(M8&lt;-1,"Dr","Cr")</f>
        <v>Cr</v>
      </c>
      <c r="O8" s="44"/>
      <c r="Q8" s="44">
        <f>SUM(F8:F68)</f>
        <v>890.07319999999982</v>
      </c>
      <c r="R8" s="44">
        <f>SUM(K8:K48)</f>
        <v>745</v>
      </c>
      <c r="S8" s="44">
        <f>(Q8-R8)</f>
        <v>145.07319999999982</v>
      </c>
      <c r="T8" s="44">
        <f>SUM(D8:D47)</f>
        <v>11.340000000000002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3" si="3">(L8+F9)</f>
        <v>0</v>
      </c>
      <c r="M9" s="44">
        <f t="shared" ref="M9:M25" si="4">(M8+F9-K9)</f>
        <v>0</v>
      </c>
      <c r="N9" s="44" t="str">
        <f t="shared" si="2"/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>
        <v>7.3</v>
      </c>
      <c r="C10" s="24">
        <v>8.8699999999999992</v>
      </c>
      <c r="D10" s="24">
        <v>1.44</v>
      </c>
      <c r="E10" s="24">
        <f t="shared" si="0"/>
        <v>82.929999999999993</v>
      </c>
      <c r="F10" s="24">
        <f t="shared" si="1"/>
        <v>119.41919999999999</v>
      </c>
      <c r="G10" s="24" t="s">
        <v>120</v>
      </c>
      <c r="H10" s="20"/>
      <c r="I10" s="20"/>
      <c r="J10" s="62" t="s">
        <v>122</v>
      </c>
      <c r="K10" s="44"/>
      <c r="L10" s="44">
        <f t="shared" si="3"/>
        <v>119.41919999999999</v>
      </c>
      <c r="M10" s="44">
        <f t="shared" si="4"/>
        <v>119.41919999999999</v>
      </c>
      <c r="N10" s="44" t="str">
        <f t="shared" si="2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3"/>
        <v>119.41919999999999</v>
      </c>
      <c r="M11" s="44">
        <f t="shared" si="4"/>
        <v>119.41919999999999</v>
      </c>
      <c r="N11" s="44" t="str">
        <f t="shared" si="2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>
        <v>7.64</v>
      </c>
      <c r="C12" s="93">
        <v>8.7799999999999994</v>
      </c>
      <c r="D12" s="93">
        <v>1</v>
      </c>
      <c r="E12" s="24">
        <f t="shared" si="0"/>
        <v>84.78</v>
      </c>
      <c r="F12" s="93">
        <f t="shared" si="1"/>
        <v>84.78</v>
      </c>
      <c r="G12" s="93" t="s">
        <v>155</v>
      </c>
      <c r="H12" s="20"/>
      <c r="I12" s="20"/>
      <c r="J12" s="62" t="s">
        <v>124</v>
      </c>
      <c r="K12" s="44"/>
      <c r="L12" s="44">
        <f t="shared" si="3"/>
        <v>204.19919999999999</v>
      </c>
      <c r="M12" s="44">
        <f t="shared" si="4"/>
        <v>204.19919999999999</v>
      </c>
      <c r="N12" s="44" t="str">
        <f t="shared" si="2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>
        <v>7.8</v>
      </c>
      <c r="C13" s="93">
        <v>8.6</v>
      </c>
      <c r="D13" s="93">
        <v>0.9</v>
      </c>
      <c r="E13" s="24">
        <f t="shared" si="0"/>
        <v>85.1</v>
      </c>
      <c r="F13" s="93">
        <f t="shared" si="1"/>
        <v>76.59</v>
      </c>
      <c r="G13" s="93" t="s">
        <v>120</v>
      </c>
      <c r="H13" s="20"/>
      <c r="I13" s="20"/>
      <c r="J13" s="62" t="s">
        <v>125</v>
      </c>
      <c r="K13" s="44"/>
      <c r="L13" s="44">
        <f t="shared" si="3"/>
        <v>280.78919999999999</v>
      </c>
      <c r="M13" s="44">
        <f t="shared" si="4"/>
        <v>280.78919999999999</v>
      </c>
      <c r="N13" s="44" t="str">
        <f t="shared" si="2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3"/>
        <v>280.78919999999999</v>
      </c>
      <c r="M14" s="44">
        <f t="shared" si="4"/>
        <v>280.78919999999999</v>
      </c>
      <c r="N14" s="44" t="str">
        <f t="shared" si="2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3"/>
        <v>280.78919999999999</v>
      </c>
      <c r="M15" s="44">
        <f t="shared" si="4"/>
        <v>280.78919999999999</v>
      </c>
      <c r="N15" s="44" t="str">
        <f t="shared" si="2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>
        <v>6.4</v>
      </c>
      <c r="C16" s="93">
        <v>8.5</v>
      </c>
      <c r="D16" s="93">
        <v>1</v>
      </c>
      <c r="E16" s="24">
        <f t="shared" si="0"/>
        <v>75.599999999999994</v>
      </c>
      <c r="F16" s="93">
        <f t="shared" si="1"/>
        <v>75.599999999999994</v>
      </c>
      <c r="G16" s="93" t="s">
        <v>120</v>
      </c>
      <c r="H16" s="20"/>
      <c r="I16" s="20"/>
      <c r="J16" s="62" t="s">
        <v>129</v>
      </c>
      <c r="K16" s="44"/>
      <c r="L16" s="44">
        <f t="shared" si="3"/>
        <v>356.38919999999996</v>
      </c>
      <c r="M16" s="44">
        <f t="shared" si="4"/>
        <v>356.38919999999996</v>
      </c>
      <c r="N16" s="44" t="str">
        <f t="shared" si="2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>
        <v>6.5</v>
      </c>
      <c r="C17" s="93">
        <v>8.4</v>
      </c>
      <c r="D17" s="93">
        <v>1</v>
      </c>
      <c r="E17" s="24">
        <f t="shared" si="0"/>
        <v>75.849999999999994</v>
      </c>
      <c r="F17" s="93">
        <f t="shared" si="1"/>
        <v>75.849999999999994</v>
      </c>
      <c r="G17" s="93" t="s">
        <v>120</v>
      </c>
      <c r="H17" s="20"/>
      <c r="I17" s="20"/>
      <c r="J17" s="62" t="s">
        <v>130</v>
      </c>
      <c r="K17" s="44"/>
      <c r="L17" s="44">
        <f t="shared" si="3"/>
        <v>432.23919999999998</v>
      </c>
      <c r="M17" s="44">
        <f t="shared" si="4"/>
        <v>432.23919999999998</v>
      </c>
      <c r="N17" s="44" t="str">
        <f t="shared" si="2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>
        <v>6</v>
      </c>
      <c r="C18" s="93">
        <v>8.5</v>
      </c>
      <c r="D18" s="93">
        <v>1.1000000000000001</v>
      </c>
      <c r="E18" s="24">
        <f t="shared" si="0"/>
        <v>73</v>
      </c>
      <c r="F18" s="93">
        <f t="shared" si="1"/>
        <v>80.300000000000011</v>
      </c>
      <c r="G18" s="93" t="s">
        <v>120</v>
      </c>
      <c r="H18" s="20"/>
      <c r="I18" s="20"/>
      <c r="J18" s="62" t="s">
        <v>131</v>
      </c>
      <c r="K18" s="44"/>
      <c r="L18" s="44">
        <f t="shared" si="3"/>
        <v>512.53919999999994</v>
      </c>
      <c r="M18" s="44">
        <f t="shared" si="4"/>
        <v>512.53919999999994</v>
      </c>
      <c r="N18" s="44" t="str">
        <f t="shared" si="2"/>
        <v>Cr</v>
      </c>
      <c r="O18" s="44"/>
    </row>
    <row r="19" spans="1:21">
      <c r="A19" s="96" t="s">
        <v>132</v>
      </c>
      <c r="B19" s="93">
        <v>5.8</v>
      </c>
      <c r="C19" s="93">
        <v>8.6999999999999993</v>
      </c>
      <c r="D19" s="93">
        <v>1.2</v>
      </c>
      <c r="E19" s="24">
        <f t="shared" si="0"/>
        <v>72.5</v>
      </c>
      <c r="F19" s="93">
        <f t="shared" si="1"/>
        <v>87</v>
      </c>
      <c r="G19" s="93" t="s">
        <v>120</v>
      </c>
      <c r="H19" s="20"/>
      <c r="I19" s="20"/>
      <c r="J19" s="62" t="s">
        <v>132</v>
      </c>
      <c r="K19" s="44"/>
      <c r="L19" s="44">
        <f t="shared" si="3"/>
        <v>599.53919999999994</v>
      </c>
      <c r="M19" s="44">
        <f t="shared" si="4"/>
        <v>599.53919999999994</v>
      </c>
      <c r="N19" s="44" t="str">
        <f t="shared" si="2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3"/>
        <v>599.53919999999994</v>
      </c>
      <c r="M20" s="44">
        <f t="shared" si="4"/>
        <v>599.53919999999994</v>
      </c>
      <c r="N20" s="44" t="str">
        <f t="shared" si="2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0"/>
        <v>0</v>
      </c>
      <c r="F21" s="93">
        <f t="shared" si="1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3"/>
        <v>599.53919999999994</v>
      </c>
      <c r="M21" s="44">
        <f t="shared" si="4"/>
        <v>599.53919999999994</v>
      </c>
      <c r="N21" s="44" t="str">
        <f t="shared" si="2"/>
        <v>Cr</v>
      </c>
      <c r="O21" s="44"/>
    </row>
    <row r="22" spans="1:21">
      <c r="A22" s="96" t="s">
        <v>135</v>
      </c>
      <c r="B22" s="93">
        <v>6.97</v>
      </c>
      <c r="C22" s="93">
        <v>8.7100000000000009</v>
      </c>
      <c r="D22" s="93">
        <v>1</v>
      </c>
      <c r="E22" s="24">
        <f t="shared" si="0"/>
        <v>80.14500000000001</v>
      </c>
      <c r="F22" s="93">
        <f t="shared" si="1"/>
        <v>80.14500000000001</v>
      </c>
      <c r="G22" s="93" t="s">
        <v>120</v>
      </c>
      <c r="H22" s="20"/>
      <c r="I22" s="20"/>
      <c r="J22" s="62" t="s">
        <v>135</v>
      </c>
      <c r="K22" s="44"/>
      <c r="L22" s="44">
        <f t="shared" si="3"/>
        <v>679.68419999999992</v>
      </c>
      <c r="M22" s="44">
        <f t="shared" si="4"/>
        <v>679.68419999999992</v>
      </c>
      <c r="N22" s="44" t="str">
        <f t="shared" si="2"/>
        <v>Cr</v>
      </c>
      <c r="O22" s="44"/>
    </row>
    <row r="23" spans="1:21">
      <c r="A23" s="96" t="s">
        <v>136</v>
      </c>
      <c r="B23" s="93">
        <v>6.76</v>
      </c>
      <c r="C23" s="93">
        <v>8.34</v>
      </c>
      <c r="D23" s="93">
        <v>1</v>
      </c>
      <c r="E23" s="24">
        <f t="shared" si="0"/>
        <v>77.3</v>
      </c>
      <c r="F23" s="93">
        <f t="shared" si="1"/>
        <v>77.3</v>
      </c>
      <c r="G23" s="93" t="s">
        <v>120</v>
      </c>
      <c r="H23" s="20"/>
      <c r="I23" s="20"/>
      <c r="J23" s="62" t="s">
        <v>136</v>
      </c>
      <c r="K23" s="44">
        <v>745</v>
      </c>
      <c r="L23" s="44">
        <f t="shared" si="3"/>
        <v>756.98419999999987</v>
      </c>
      <c r="M23" s="44">
        <f t="shared" si="4"/>
        <v>11.984199999999873</v>
      </c>
      <c r="N23" s="44" t="str">
        <f t="shared" si="2"/>
        <v>Cr</v>
      </c>
      <c r="O23" s="44"/>
    </row>
    <row r="24" spans="1:21">
      <c r="A24" s="73" t="s">
        <v>138</v>
      </c>
      <c r="B24" s="75">
        <v>7.1</v>
      </c>
      <c r="C24" s="75">
        <v>8</v>
      </c>
      <c r="D24" s="75">
        <v>0.8</v>
      </c>
      <c r="E24" s="75">
        <f t="shared" si="0"/>
        <v>78.150000000000006</v>
      </c>
      <c r="F24" s="75">
        <f t="shared" si="1"/>
        <v>62.52000000000001</v>
      </c>
      <c r="G24" s="75" t="s">
        <v>120</v>
      </c>
      <c r="H24" s="20"/>
      <c r="I24" s="20"/>
      <c r="J24" s="97" t="s">
        <v>205</v>
      </c>
      <c r="K24" s="78"/>
      <c r="L24" s="78">
        <f>(L23+F24)</f>
        <v>819.50419999999986</v>
      </c>
      <c r="M24" s="78">
        <f t="shared" si="4"/>
        <v>74.504199999999884</v>
      </c>
      <c r="N24" s="78" t="str">
        <f t="shared" si="2"/>
        <v>Cr</v>
      </c>
      <c r="O24" s="78"/>
    </row>
    <row r="25" spans="1:21">
      <c r="A25" s="96" t="s">
        <v>139</v>
      </c>
      <c r="B25" s="93">
        <v>7.14</v>
      </c>
      <c r="C25" s="93">
        <v>8</v>
      </c>
      <c r="D25" s="93">
        <v>0.9</v>
      </c>
      <c r="E25" s="24">
        <f t="shared" si="0"/>
        <v>78.41</v>
      </c>
      <c r="F25" s="93">
        <f t="shared" si="1"/>
        <v>70.569000000000003</v>
      </c>
      <c r="G25" s="93" t="s">
        <v>120</v>
      </c>
      <c r="H25" s="20"/>
      <c r="I25" s="20"/>
      <c r="J25" s="62" t="s">
        <v>139</v>
      </c>
      <c r="K25" s="44"/>
      <c r="L25" s="187">
        <f>(L24+F25)</f>
        <v>890.07319999999982</v>
      </c>
      <c r="M25" s="44">
        <f t="shared" si="4"/>
        <v>145.07319999999987</v>
      </c>
      <c r="N25" s="44" t="str">
        <f t="shared" si="2"/>
        <v>Cr</v>
      </c>
      <c r="O25" s="44"/>
    </row>
    <row r="26" spans="1:21">
      <c r="A26" s="96" t="s">
        <v>140</v>
      </c>
      <c r="B26" s="93"/>
      <c r="C26" s="93"/>
      <c r="D26" s="93"/>
      <c r="E26" s="24">
        <f t="shared" si="0"/>
        <v>0</v>
      </c>
      <c r="F26" s="93">
        <f t="shared" si="1"/>
        <v>0</v>
      </c>
      <c r="G26" s="93" t="s">
        <v>120</v>
      </c>
      <c r="H26" s="20"/>
      <c r="I26" s="20"/>
      <c r="J26" s="62" t="s">
        <v>140</v>
      </c>
      <c r="K26" s="44"/>
      <c r="L26" s="44"/>
      <c r="M26" s="44"/>
      <c r="N26" s="44" t="str">
        <f t="shared" si="2"/>
        <v>Cr</v>
      </c>
      <c r="O26" s="44"/>
    </row>
    <row r="27" spans="1:21">
      <c r="A27" s="96" t="s">
        <v>141</v>
      </c>
      <c r="B27" s="93"/>
      <c r="C27" s="93"/>
      <c r="D27" s="93"/>
      <c r="E27" s="24">
        <f t="shared" si="0"/>
        <v>0</v>
      </c>
      <c r="F27" s="93">
        <f t="shared" si="1"/>
        <v>0</v>
      </c>
      <c r="G27" s="93" t="s">
        <v>155</v>
      </c>
      <c r="H27" s="20"/>
      <c r="I27" s="20"/>
      <c r="J27" s="62" t="s">
        <v>141</v>
      </c>
      <c r="K27" s="44"/>
      <c r="L27" s="44"/>
      <c r="M27" s="44"/>
      <c r="N27" s="44" t="str">
        <f t="shared" si="2"/>
        <v>Cr</v>
      </c>
      <c r="O27" s="44"/>
    </row>
    <row r="28" spans="1:21">
      <c r="A28" s="96" t="s">
        <v>142</v>
      </c>
      <c r="B28" s="93"/>
      <c r="C28" s="93"/>
      <c r="D28" s="93"/>
      <c r="E28" s="24">
        <f t="shared" si="0"/>
        <v>0</v>
      </c>
      <c r="F28" s="93">
        <f t="shared" si="1"/>
        <v>0</v>
      </c>
      <c r="G28" s="93" t="s">
        <v>120</v>
      </c>
      <c r="H28" s="20"/>
      <c r="I28" s="20"/>
      <c r="J28" s="62" t="s">
        <v>142</v>
      </c>
      <c r="K28" s="44"/>
      <c r="L28" s="44"/>
      <c r="M28" s="44"/>
      <c r="N28" s="44" t="str">
        <f t="shared" si="2"/>
        <v>Cr</v>
      </c>
      <c r="O28" s="44"/>
    </row>
    <row r="29" spans="1:21">
      <c r="A29" s="96" t="s">
        <v>143</v>
      </c>
      <c r="B29" s="93"/>
      <c r="C29" s="93"/>
      <c r="D29" s="93"/>
      <c r="E29" s="24">
        <f t="shared" si="0"/>
        <v>0</v>
      </c>
      <c r="F29" s="93">
        <f t="shared" si="1"/>
        <v>0</v>
      </c>
      <c r="G29" s="93" t="s">
        <v>120</v>
      </c>
      <c r="H29" s="20"/>
      <c r="I29" s="20"/>
      <c r="J29" s="62" t="s">
        <v>143</v>
      </c>
      <c r="K29" s="44"/>
      <c r="L29" s="44"/>
      <c r="M29" s="44"/>
      <c r="N29" s="44" t="str">
        <f t="shared" si="2"/>
        <v>Cr</v>
      </c>
      <c r="O29" s="44"/>
    </row>
    <row r="30" spans="1:21">
      <c r="A30" s="96" t="s">
        <v>144</v>
      </c>
      <c r="B30" s="93"/>
      <c r="C30" s="93"/>
      <c r="D30" s="93"/>
      <c r="E30" s="24">
        <f t="shared" si="0"/>
        <v>0</v>
      </c>
      <c r="F30" s="93">
        <f t="shared" si="1"/>
        <v>0</v>
      </c>
      <c r="G30" s="93" t="s">
        <v>155</v>
      </c>
      <c r="H30" s="20"/>
      <c r="I30" s="20"/>
      <c r="J30" s="62" t="s">
        <v>144</v>
      </c>
      <c r="K30" s="44"/>
      <c r="L30" s="44"/>
      <c r="M30" s="44"/>
      <c r="N30" s="44" t="str">
        <f t="shared" si="2"/>
        <v>Cr</v>
      </c>
      <c r="O30" s="44"/>
    </row>
    <row r="31" spans="1:21">
      <c r="A31" s="96" t="s">
        <v>145</v>
      </c>
      <c r="B31" s="93"/>
      <c r="C31" s="93"/>
      <c r="D31" s="93"/>
      <c r="E31" s="24">
        <f t="shared" si="0"/>
        <v>0</v>
      </c>
      <c r="F31" s="93">
        <f t="shared" si="1"/>
        <v>0</v>
      </c>
      <c r="G31" s="93" t="s">
        <v>120</v>
      </c>
      <c r="H31" s="20"/>
      <c r="I31" s="20"/>
      <c r="J31" s="62" t="s">
        <v>145</v>
      </c>
      <c r="K31" s="44"/>
      <c r="L31" s="44"/>
      <c r="M31" s="44"/>
      <c r="N31" s="44" t="str">
        <f t="shared" si="2"/>
        <v>Cr</v>
      </c>
      <c r="O31" s="44"/>
    </row>
    <row r="32" spans="1:21">
      <c r="A32" s="96" t="s">
        <v>146</v>
      </c>
      <c r="B32" s="93"/>
      <c r="C32" s="93"/>
      <c r="D32" s="93"/>
      <c r="E32" s="24">
        <f t="shared" si="0"/>
        <v>0</v>
      </c>
      <c r="F32" s="93">
        <f t="shared" si="1"/>
        <v>0</v>
      </c>
      <c r="G32" s="93" t="s">
        <v>120</v>
      </c>
      <c r="H32" s="20"/>
      <c r="I32" s="20"/>
      <c r="J32" s="62" t="s">
        <v>146</v>
      </c>
      <c r="K32" s="44"/>
      <c r="L32" s="44"/>
      <c r="M32" s="44"/>
      <c r="N32" s="44" t="str">
        <f t="shared" si="2"/>
        <v>Cr</v>
      </c>
      <c r="O32" s="44"/>
    </row>
    <row r="33" spans="1:15">
      <c r="A33" s="96" t="s">
        <v>147</v>
      </c>
      <c r="B33" s="93"/>
      <c r="C33" s="93"/>
      <c r="D33" s="93"/>
      <c r="E33" s="24">
        <f t="shared" si="0"/>
        <v>0</v>
      </c>
      <c r="F33" s="93">
        <f t="shared" si="1"/>
        <v>0</v>
      </c>
      <c r="G33" s="93" t="s">
        <v>120</v>
      </c>
      <c r="H33" s="20"/>
      <c r="I33" s="20"/>
      <c r="J33" s="62" t="s">
        <v>147</v>
      </c>
      <c r="K33" s="44"/>
      <c r="L33" s="44"/>
      <c r="M33" s="44"/>
      <c r="N33" s="44" t="str">
        <f t="shared" si="2"/>
        <v>Cr</v>
      </c>
      <c r="O33" s="44"/>
    </row>
    <row r="34" spans="1:15">
      <c r="A34" s="96" t="s">
        <v>148</v>
      </c>
      <c r="B34" s="93"/>
      <c r="C34" s="93"/>
      <c r="D34" s="93"/>
      <c r="E34" s="24">
        <f t="shared" si="0"/>
        <v>0</v>
      </c>
      <c r="F34" s="93">
        <f t="shared" si="1"/>
        <v>0</v>
      </c>
      <c r="G34" s="93" t="s">
        <v>120</v>
      </c>
      <c r="H34" s="20"/>
      <c r="I34" s="20"/>
      <c r="J34" s="62" t="s">
        <v>148</v>
      </c>
      <c r="K34" s="44"/>
      <c r="L34" s="44"/>
      <c r="M34" s="44"/>
      <c r="N34" s="44" t="str">
        <f t="shared" si="2"/>
        <v>Cr</v>
      </c>
      <c r="O34" s="44"/>
    </row>
    <row r="35" spans="1:15">
      <c r="A35" s="96" t="s">
        <v>149</v>
      </c>
      <c r="B35" s="93"/>
      <c r="C35" s="93"/>
      <c r="D35" s="93"/>
      <c r="E35" s="24">
        <f t="shared" si="0"/>
        <v>0</v>
      </c>
      <c r="F35" s="93">
        <f t="shared" si="1"/>
        <v>0</v>
      </c>
      <c r="G35" s="93" t="s">
        <v>120</v>
      </c>
      <c r="H35" s="20"/>
      <c r="I35" s="20"/>
      <c r="J35" s="62" t="s">
        <v>149</v>
      </c>
      <c r="K35" s="44"/>
      <c r="L35" s="44"/>
      <c r="M35" s="44"/>
      <c r="N35" s="44" t="str">
        <f t="shared" si="2"/>
        <v>Cr</v>
      </c>
      <c r="O35" s="44"/>
    </row>
    <row r="36" spans="1:15">
      <c r="A36" s="96" t="s">
        <v>150</v>
      </c>
      <c r="B36" s="93"/>
      <c r="C36" s="93"/>
      <c r="D36" s="93"/>
      <c r="E36" s="24">
        <f t="shared" si="0"/>
        <v>0</v>
      </c>
      <c r="F36" s="93">
        <f t="shared" si="1"/>
        <v>0</v>
      </c>
      <c r="G36" s="93" t="s">
        <v>120</v>
      </c>
      <c r="H36" s="20"/>
      <c r="I36" s="20"/>
      <c r="J36" s="62" t="s">
        <v>150</v>
      </c>
      <c r="K36" s="44"/>
      <c r="L36" s="44"/>
      <c r="M36" s="44"/>
      <c r="N36" s="44" t="str">
        <f t="shared" si="2"/>
        <v>Cr</v>
      </c>
      <c r="O36" s="44"/>
    </row>
    <row r="37" spans="1:15">
      <c r="A37" s="96" t="s">
        <v>151</v>
      </c>
      <c r="B37" s="93"/>
      <c r="C37" s="93"/>
      <c r="D37" s="93"/>
      <c r="E37" s="24">
        <f t="shared" si="0"/>
        <v>0</v>
      </c>
      <c r="F37" s="93">
        <f t="shared" si="1"/>
        <v>0</v>
      </c>
      <c r="G37" s="93" t="s">
        <v>120</v>
      </c>
      <c r="H37" s="20"/>
      <c r="I37" s="20"/>
      <c r="J37" s="62" t="s">
        <v>151</v>
      </c>
      <c r="K37" s="44"/>
      <c r="L37" s="44"/>
      <c r="M37" s="44"/>
      <c r="N37" s="44" t="str">
        <f t="shared" si="2"/>
        <v>Cr</v>
      </c>
      <c r="O37" s="44"/>
    </row>
    <row r="38" spans="1:15">
      <c r="A38" s="96" t="s">
        <v>152</v>
      </c>
      <c r="B38" s="93"/>
      <c r="C38" s="93"/>
      <c r="D38" s="93"/>
      <c r="E38" s="24">
        <f t="shared" si="0"/>
        <v>0</v>
      </c>
      <c r="F38" s="93">
        <f t="shared" si="1"/>
        <v>0</v>
      </c>
      <c r="G38" s="93" t="s">
        <v>120</v>
      </c>
      <c r="H38" s="20"/>
      <c r="I38" s="20"/>
      <c r="J38" s="62" t="s">
        <v>152</v>
      </c>
      <c r="K38" s="44"/>
      <c r="L38" s="44"/>
      <c r="M38" s="44"/>
      <c r="N38" s="44" t="str">
        <f t="shared" si="2"/>
        <v>Cr</v>
      </c>
      <c r="O38" s="44"/>
    </row>
    <row r="39" spans="1:15">
      <c r="A39" s="96" t="s">
        <v>153</v>
      </c>
      <c r="B39" s="93"/>
      <c r="C39" s="93"/>
      <c r="D39" s="93"/>
      <c r="E39" s="24">
        <f t="shared" si="0"/>
        <v>0</v>
      </c>
      <c r="F39" s="93">
        <f t="shared" si="1"/>
        <v>0</v>
      </c>
      <c r="G39" s="93" t="s">
        <v>120</v>
      </c>
      <c r="H39" s="20"/>
      <c r="I39" s="20"/>
      <c r="J39" s="62" t="s">
        <v>153</v>
      </c>
      <c r="K39" s="44"/>
      <c r="L39" s="44"/>
      <c r="M39" s="44"/>
      <c r="N39" s="44" t="str">
        <f t="shared" si="2"/>
        <v>Cr</v>
      </c>
      <c r="O39" s="44"/>
    </row>
    <row r="40" spans="1:15">
      <c r="A40" s="96" t="s">
        <v>154</v>
      </c>
      <c r="B40" s="93"/>
      <c r="C40" s="93"/>
      <c r="D40" s="93"/>
      <c r="E40" s="24">
        <f t="shared" si="0"/>
        <v>0</v>
      </c>
      <c r="F40" s="93">
        <f t="shared" si="1"/>
        <v>0</v>
      </c>
      <c r="G40" s="93" t="s">
        <v>120</v>
      </c>
      <c r="H40" s="20"/>
      <c r="I40" s="20"/>
      <c r="J40" s="62" t="s">
        <v>154</v>
      </c>
      <c r="K40" s="44"/>
      <c r="L40" s="44"/>
      <c r="M40" s="44"/>
      <c r="N40" s="44" t="str">
        <f t="shared" si="2"/>
        <v>Cr</v>
      </c>
      <c r="O40" s="44"/>
    </row>
    <row r="41" spans="1:15">
      <c r="A41" s="96" t="s">
        <v>156</v>
      </c>
      <c r="B41" s="93"/>
      <c r="C41" s="93"/>
      <c r="D41" s="93"/>
      <c r="E41" s="24">
        <f t="shared" si="0"/>
        <v>0</v>
      </c>
      <c r="F41" s="93">
        <f t="shared" si="1"/>
        <v>0</v>
      </c>
      <c r="G41" s="93"/>
      <c r="H41" s="20"/>
      <c r="I41" s="20"/>
      <c r="J41" s="62" t="s">
        <v>156</v>
      </c>
      <c r="K41" s="44"/>
      <c r="L41" s="44"/>
      <c r="M41" s="44"/>
      <c r="N41" s="44"/>
      <c r="O41" s="44"/>
    </row>
    <row r="42" spans="1:15">
      <c r="A42" s="96" t="s">
        <v>157</v>
      </c>
      <c r="B42" s="93"/>
      <c r="C42" s="93"/>
      <c r="D42" s="93"/>
      <c r="E42" s="24">
        <f t="shared" si="0"/>
        <v>0</v>
      </c>
      <c r="F42" s="93">
        <f t="shared" si="1"/>
        <v>0</v>
      </c>
      <c r="G42" s="93"/>
      <c r="H42" s="20"/>
      <c r="I42" s="20"/>
      <c r="J42" s="62" t="s">
        <v>157</v>
      </c>
      <c r="K42" s="44"/>
      <c r="L42" s="44"/>
      <c r="M42" s="44"/>
      <c r="N42" s="44"/>
      <c r="O42" s="44"/>
    </row>
    <row r="43" spans="1:15">
      <c r="A43" s="96" t="s">
        <v>158</v>
      </c>
      <c r="B43" s="93"/>
      <c r="C43" s="93"/>
      <c r="D43" s="93"/>
      <c r="E43" s="24">
        <f t="shared" si="0"/>
        <v>0</v>
      </c>
      <c r="F43" s="93">
        <f t="shared" si="1"/>
        <v>0</v>
      </c>
      <c r="G43" s="93"/>
      <c r="H43" s="20"/>
      <c r="I43" s="20"/>
      <c r="J43" s="62" t="s">
        <v>158</v>
      </c>
      <c r="K43" s="44"/>
      <c r="L43" s="44"/>
      <c r="M43" s="44"/>
      <c r="N43" s="44"/>
      <c r="O43" s="44"/>
    </row>
    <row r="44" spans="1:15">
      <c r="A44" s="96" t="s">
        <v>159</v>
      </c>
      <c r="B44" s="93"/>
      <c r="C44" s="93"/>
      <c r="D44" s="93"/>
      <c r="E44" s="24">
        <f t="shared" si="0"/>
        <v>0</v>
      </c>
      <c r="F44" s="93">
        <f t="shared" si="1"/>
        <v>0</v>
      </c>
      <c r="G44" s="93"/>
      <c r="H44" s="20"/>
      <c r="I44" s="20"/>
      <c r="J44" s="62" t="s">
        <v>159</v>
      </c>
      <c r="K44" s="44"/>
      <c r="L44" s="44"/>
      <c r="M44" s="44"/>
      <c r="N44" s="44"/>
      <c r="O44" s="44"/>
    </row>
    <row r="45" spans="1:15">
      <c r="A45" s="96" t="s">
        <v>160</v>
      </c>
      <c r="B45" s="93"/>
      <c r="C45" s="93"/>
      <c r="D45" s="93"/>
      <c r="E45" s="24">
        <f t="shared" si="0"/>
        <v>0</v>
      </c>
      <c r="F45" s="93">
        <f t="shared" si="1"/>
        <v>0</v>
      </c>
      <c r="G45" s="93"/>
      <c r="H45" s="20"/>
      <c r="I45" s="20"/>
      <c r="J45" s="62" t="s">
        <v>160</v>
      </c>
      <c r="K45" s="44"/>
      <c r="L45" s="44"/>
      <c r="M45" s="44"/>
      <c r="N45" s="44"/>
      <c r="O45" s="44"/>
    </row>
    <row r="46" spans="1:15">
      <c r="A46" s="98" t="s">
        <v>161</v>
      </c>
      <c r="B46" s="99"/>
      <c r="C46" s="99"/>
      <c r="D46" s="99"/>
      <c r="E46" s="80">
        <f t="shared" si="0"/>
        <v>0</v>
      </c>
      <c r="F46" s="99">
        <f t="shared" si="1"/>
        <v>0</v>
      </c>
      <c r="G46" s="99"/>
      <c r="H46" s="20"/>
      <c r="I46" s="20"/>
      <c r="J46" s="79" t="s">
        <v>161</v>
      </c>
      <c r="K46" s="86"/>
      <c r="L46" s="44"/>
      <c r="M46" s="86"/>
      <c r="N46" s="86"/>
      <c r="O46" s="86"/>
    </row>
    <row r="47" spans="1:15">
      <c r="A47" s="100" t="s">
        <v>162</v>
      </c>
      <c r="B47" s="71"/>
      <c r="C47" s="71"/>
      <c r="D47" s="71"/>
      <c r="E47" s="44">
        <f t="shared" si="0"/>
        <v>0</v>
      </c>
      <c r="F47" s="71">
        <f t="shared" si="1"/>
        <v>0</v>
      </c>
      <c r="G47" s="71"/>
      <c r="H47" s="20"/>
      <c r="I47" s="20"/>
      <c r="J47" s="63" t="s">
        <v>162</v>
      </c>
      <c r="K47" s="44"/>
      <c r="L47" s="44"/>
      <c r="M47" s="44"/>
      <c r="N47" s="44"/>
      <c r="O47" s="44"/>
    </row>
    <row r="48" spans="1:15">
      <c r="A48" s="8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>
      <c r="A49" s="8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>
      <c r="A50" s="83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1:15">
      <c r="A51" s="8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>
      <c r="A52" s="8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>
      <c r="A53" s="8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>
      <c r="A54" s="8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1:1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1:1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1:1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</sheetData>
  <mergeCells count="1">
    <mergeCell ref="B2:G2"/>
  </mergeCells>
  <hyperlinks>
    <hyperlink ref="F5" location="'Customer Index'!A8" display="Customer Code"/>
    <hyperlink ref="G5" location="'Customer Index'!B11" display="Bas04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5"/>
  <sheetViews>
    <sheetView topLeftCell="A73" zoomScaleNormal="100" workbookViewId="0">
      <selection activeCell="O78" sqref="O78:O85"/>
    </sheetView>
  </sheetViews>
  <sheetFormatPr defaultColWidth="14.109375" defaultRowHeight="14.4"/>
  <cols>
    <col min="1" max="1" width="14.33203125" style="101" customWidth="1"/>
    <col min="2" max="2" width="7.6640625" style="101" customWidth="1"/>
    <col min="3" max="3" width="9.109375" style="101" customWidth="1"/>
    <col min="4" max="5" width="9" style="101" customWidth="1"/>
    <col min="6" max="7" width="15.6640625" style="101" customWidth="1"/>
    <col min="8" max="13" width="14.109375" style="101"/>
    <col min="14" max="14" width="17" style="101" bestFit="1" customWidth="1"/>
    <col min="15" max="17" width="14.109375" style="101"/>
    <col min="18" max="18" width="15.44140625" style="101" bestFit="1" customWidth="1"/>
    <col min="19" max="19" width="15.33203125" style="101" bestFit="1" customWidth="1"/>
    <col min="20" max="20" width="12.5546875" style="101" bestFit="1" customWidth="1"/>
    <col min="21" max="21" width="11" style="101" bestFit="1" customWidth="1"/>
    <col min="22" max="16384" width="14.109375" style="101"/>
  </cols>
  <sheetData>
    <row r="2" spans="1:22" ht="28.8">
      <c r="B2" s="204" t="s">
        <v>103</v>
      </c>
      <c r="C2" s="204"/>
      <c r="D2" s="204"/>
      <c r="E2" s="204"/>
      <c r="F2" s="204"/>
      <c r="G2" s="204"/>
      <c r="L2" s="102" t="s">
        <v>104</v>
      </c>
    </row>
    <row r="3" spans="1:22">
      <c r="A3" s="103" t="s">
        <v>206</v>
      </c>
      <c r="B3" s="104"/>
      <c r="C3" s="104"/>
      <c r="F3" s="105" t="s">
        <v>106</v>
      </c>
      <c r="G3" s="106">
        <v>9861102632</v>
      </c>
      <c r="H3" s="107"/>
    </row>
    <row r="5" spans="1:22">
      <c r="A5" s="103" t="s">
        <v>199</v>
      </c>
      <c r="B5" s="104"/>
      <c r="C5" s="104"/>
      <c r="D5" s="104"/>
      <c r="E5" s="104"/>
      <c r="F5" s="108" t="s">
        <v>18</v>
      </c>
      <c r="G5" s="109" t="s">
        <v>33</v>
      </c>
      <c r="L5" s="110"/>
    </row>
    <row r="7" spans="1:22" ht="18">
      <c r="A7" s="111" t="s">
        <v>109</v>
      </c>
      <c r="B7" s="111" t="s">
        <v>7</v>
      </c>
      <c r="C7" s="111" t="s">
        <v>8</v>
      </c>
      <c r="D7" s="111" t="s">
        <v>110</v>
      </c>
      <c r="E7" s="111" t="s">
        <v>111</v>
      </c>
      <c r="F7" s="111" t="s">
        <v>9</v>
      </c>
      <c r="G7" s="111" t="s">
        <v>112</v>
      </c>
      <c r="H7" s="112"/>
      <c r="I7" s="113"/>
      <c r="J7" s="114" t="s">
        <v>109</v>
      </c>
      <c r="K7" s="115" t="s">
        <v>114</v>
      </c>
      <c r="L7" s="115" t="s">
        <v>115</v>
      </c>
      <c r="M7" s="115" t="s">
        <v>116</v>
      </c>
      <c r="N7" s="115" t="s">
        <v>117</v>
      </c>
      <c r="O7" s="115" t="s">
        <v>110</v>
      </c>
      <c r="P7" s="115" t="s">
        <v>118</v>
      </c>
      <c r="R7" s="116" t="s">
        <v>21</v>
      </c>
      <c r="S7" s="116" t="s">
        <v>202</v>
      </c>
      <c r="T7" s="117" t="s">
        <v>203</v>
      </c>
      <c r="U7" s="116" t="s">
        <v>201</v>
      </c>
      <c r="V7" s="116"/>
    </row>
    <row r="8" spans="1:22" ht="18">
      <c r="A8" s="118" t="s">
        <v>119</v>
      </c>
      <c r="B8" s="119"/>
      <c r="C8" s="119"/>
      <c r="D8" s="119"/>
      <c r="E8" s="120">
        <f t="shared" ref="E8:E85" si="0">(B8*6.5+C8*4)</f>
        <v>0</v>
      </c>
      <c r="F8" s="120">
        <f t="shared" ref="F8:F48" si="1">(B8*6.5+C8*4)*D8</f>
        <v>0</v>
      </c>
      <c r="G8" s="119" t="s">
        <v>120</v>
      </c>
      <c r="H8" s="113"/>
      <c r="I8" s="113"/>
      <c r="J8" s="118" t="s">
        <v>119</v>
      </c>
      <c r="K8" s="121"/>
      <c r="L8" s="122">
        <f>(F8)</f>
        <v>0</v>
      </c>
      <c r="M8" s="123">
        <f>(L8-K8)</f>
        <v>0</v>
      </c>
      <c r="N8" s="123" t="str">
        <f t="shared" ref="N8:N79" si="2">IF(M8&lt;-1,"Dr","Cr")</f>
        <v>Cr</v>
      </c>
      <c r="O8" s="123">
        <f>(D8)</f>
        <v>0</v>
      </c>
      <c r="P8" s="121"/>
      <c r="R8" s="123">
        <f>SUM(F8:F203)</f>
        <v>14957.856400000002</v>
      </c>
      <c r="S8" s="123">
        <f>SUM(K8:K50)</f>
        <v>3569.0126500000001</v>
      </c>
      <c r="T8" s="123">
        <f>(R8-S8)</f>
        <v>11388.843750000002</v>
      </c>
      <c r="U8" s="123">
        <f>SUM(D8:D49)</f>
        <v>101.08</v>
      </c>
      <c r="V8" s="121"/>
    </row>
    <row r="9" spans="1:22">
      <c r="A9" s="118" t="s">
        <v>121</v>
      </c>
      <c r="B9" s="119"/>
      <c r="C9" s="119"/>
      <c r="D9" s="119"/>
      <c r="E9" s="120">
        <f t="shared" si="0"/>
        <v>0</v>
      </c>
      <c r="F9" s="120">
        <f t="shared" si="1"/>
        <v>0</v>
      </c>
      <c r="G9" s="119" t="s">
        <v>120</v>
      </c>
      <c r="H9" s="113"/>
      <c r="I9" s="113"/>
      <c r="J9" s="118" t="s">
        <v>121</v>
      </c>
      <c r="K9" s="121"/>
      <c r="L9" s="123">
        <f t="shared" ref="L9:L53" si="3">(L8+F9)</f>
        <v>0</v>
      </c>
      <c r="M9" s="123">
        <f t="shared" ref="M9:M60" si="4">(M8+F9-K9)</f>
        <v>0</v>
      </c>
      <c r="N9" s="123" t="str">
        <f t="shared" si="2"/>
        <v>Cr</v>
      </c>
      <c r="O9" s="123">
        <f t="shared" ref="O9:O79" si="5">(O8+D9)</f>
        <v>0</v>
      </c>
      <c r="P9" s="121"/>
      <c r="R9" s="121"/>
      <c r="S9" s="121"/>
      <c r="T9" s="121"/>
      <c r="U9" s="121"/>
      <c r="V9" s="121"/>
    </row>
    <row r="10" spans="1:22">
      <c r="A10" s="118" t="s">
        <v>122</v>
      </c>
      <c r="B10" s="119"/>
      <c r="C10" s="119"/>
      <c r="D10" s="119"/>
      <c r="E10" s="120">
        <f t="shared" si="0"/>
        <v>0</v>
      </c>
      <c r="F10" s="120">
        <f t="shared" si="1"/>
        <v>0</v>
      </c>
      <c r="G10" s="119" t="s">
        <v>120</v>
      </c>
      <c r="H10" s="113"/>
      <c r="I10" s="113"/>
      <c r="J10" s="118" t="s">
        <v>122</v>
      </c>
      <c r="K10" s="121"/>
      <c r="L10" s="123">
        <f t="shared" si="3"/>
        <v>0</v>
      </c>
      <c r="M10" s="123">
        <f t="shared" si="4"/>
        <v>0</v>
      </c>
      <c r="N10" s="123" t="str">
        <f t="shared" si="2"/>
        <v>Cr</v>
      </c>
      <c r="O10" s="123">
        <f t="shared" si="5"/>
        <v>0</v>
      </c>
      <c r="P10" s="121"/>
      <c r="R10" s="121"/>
      <c r="S10" s="121"/>
      <c r="T10" s="121"/>
      <c r="U10" s="121"/>
      <c r="V10" s="121"/>
    </row>
    <row r="11" spans="1:22">
      <c r="A11" s="118" t="s">
        <v>123</v>
      </c>
      <c r="B11" s="119"/>
      <c r="C11" s="119"/>
      <c r="D11" s="119"/>
      <c r="E11" s="120">
        <f t="shared" si="0"/>
        <v>0</v>
      </c>
      <c r="F11" s="120">
        <f t="shared" si="1"/>
        <v>0</v>
      </c>
      <c r="G11" s="119" t="s">
        <v>120</v>
      </c>
      <c r="H11" s="113"/>
      <c r="I11" s="113"/>
      <c r="J11" s="118" t="s">
        <v>123</v>
      </c>
      <c r="K11" s="121"/>
      <c r="L11" s="123">
        <f t="shared" si="3"/>
        <v>0</v>
      </c>
      <c r="M11" s="123">
        <f t="shared" si="4"/>
        <v>0</v>
      </c>
      <c r="N11" s="123" t="str">
        <f t="shared" si="2"/>
        <v>Cr</v>
      </c>
      <c r="O11" s="123">
        <f t="shared" si="5"/>
        <v>0</v>
      </c>
      <c r="P11" s="121"/>
      <c r="R11" s="121"/>
      <c r="S11" s="121"/>
      <c r="T11" s="121"/>
      <c r="U11" s="121"/>
      <c r="V11" s="121"/>
    </row>
    <row r="12" spans="1:22">
      <c r="A12" s="124" t="s">
        <v>124</v>
      </c>
      <c r="B12" s="125"/>
      <c r="C12" s="125"/>
      <c r="D12" s="125"/>
      <c r="E12" s="120">
        <f t="shared" si="0"/>
        <v>0</v>
      </c>
      <c r="F12" s="126">
        <f t="shared" si="1"/>
        <v>0</v>
      </c>
      <c r="G12" s="125" t="s">
        <v>120</v>
      </c>
      <c r="H12" s="113"/>
      <c r="I12" s="113"/>
      <c r="J12" s="124" t="s">
        <v>124</v>
      </c>
      <c r="K12" s="121"/>
      <c r="L12" s="123">
        <f t="shared" si="3"/>
        <v>0</v>
      </c>
      <c r="M12" s="123">
        <f t="shared" si="4"/>
        <v>0</v>
      </c>
      <c r="N12" s="123" t="str">
        <f t="shared" si="2"/>
        <v>Cr</v>
      </c>
      <c r="O12" s="123">
        <f t="shared" si="5"/>
        <v>0</v>
      </c>
      <c r="P12" s="121"/>
      <c r="R12" s="121"/>
      <c r="S12" s="121"/>
      <c r="T12" s="121"/>
      <c r="U12" s="121"/>
      <c r="V12" s="121"/>
    </row>
    <row r="13" spans="1:22">
      <c r="A13" s="124" t="s">
        <v>125</v>
      </c>
      <c r="B13" s="125"/>
      <c r="C13" s="125"/>
      <c r="D13" s="125"/>
      <c r="E13" s="120">
        <f t="shared" si="0"/>
        <v>0</v>
      </c>
      <c r="F13" s="126">
        <f t="shared" si="1"/>
        <v>0</v>
      </c>
      <c r="G13" s="125" t="s">
        <v>120</v>
      </c>
      <c r="H13" s="113"/>
      <c r="I13" s="113"/>
      <c r="J13" s="124" t="s">
        <v>125</v>
      </c>
      <c r="K13" s="121"/>
      <c r="L13" s="123">
        <f t="shared" si="3"/>
        <v>0</v>
      </c>
      <c r="M13" s="123">
        <f t="shared" si="4"/>
        <v>0</v>
      </c>
      <c r="N13" s="123" t="str">
        <f t="shared" si="2"/>
        <v>Cr</v>
      </c>
      <c r="O13" s="123">
        <f t="shared" si="5"/>
        <v>0</v>
      </c>
      <c r="P13" s="121"/>
      <c r="R13" s="121"/>
      <c r="S13" s="121"/>
      <c r="T13" s="121"/>
      <c r="U13" s="121"/>
      <c r="V13" s="121"/>
    </row>
    <row r="14" spans="1:22">
      <c r="A14" s="124" t="s">
        <v>126</v>
      </c>
      <c r="B14" s="125"/>
      <c r="C14" s="125"/>
      <c r="D14" s="125"/>
      <c r="E14" s="120">
        <f t="shared" si="0"/>
        <v>0</v>
      </c>
      <c r="F14" s="126">
        <f t="shared" si="1"/>
        <v>0</v>
      </c>
      <c r="G14" s="125" t="s">
        <v>120</v>
      </c>
      <c r="H14" s="113"/>
      <c r="I14" s="113"/>
      <c r="J14" s="124" t="s">
        <v>126</v>
      </c>
      <c r="K14" s="121"/>
      <c r="L14" s="123">
        <f t="shared" si="3"/>
        <v>0</v>
      </c>
      <c r="M14" s="123">
        <f t="shared" si="4"/>
        <v>0</v>
      </c>
      <c r="N14" s="123" t="str">
        <f t="shared" si="2"/>
        <v>Cr</v>
      </c>
      <c r="O14" s="123">
        <f t="shared" si="5"/>
        <v>0</v>
      </c>
      <c r="P14" s="121"/>
      <c r="R14" s="121"/>
      <c r="S14" s="121"/>
      <c r="T14" s="121"/>
      <c r="U14" s="121"/>
      <c r="V14" s="121"/>
    </row>
    <row r="15" spans="1:22">
      <c r="A15" s="124" t="s">
        <v>128</v>
      </c>
      <c r="B15" s="125">
        <v>5.6</v>
      </c>
      <c r="C15" s="125">
        <v>8.8000000000000007</v>
      </c>
      <c r="D15" s="125">
        <v>3.9</v>
      </c>
      <c r="E15" s="120">
        <f t="shared" si="0"/>
        <v>71.599999999999994</v>
      </c>
      <c r="F15" s="126">
        <f t="shared" si="1"/>
        <v>279.23999999999995</v>
      </c>
      <c r="G15" s="125" t="s">
        <v>120</v>
      </c>
      <c r="H15" s="113"/>
      <c r="I15" s="113"/>
      <c r="J15" s="124" t="s">
        <v>128</v>
      </c>
      <c r="K15" s="121"/>
      <c r="L15" s="123">
        <f t="shared" si="3"/>
        <v>279.23999999999995</v>
      </c>
      <c r="M15" s="123">
        <f t="shared" si="4"/>
        <v>279.23999999999995</v>
      </c>
      <c r="N15" s="123" t="str">
        <f t="shared" si="2"/>
        <v>Cr</v>
      </c>
      <c r="O15" s="123">
        <f t="shared" si="5"/>
        <v>3.9</v>
      </c>
      <c r="P15" s="121"/>
      <c r="R15" s="121"/>
      <c r="S15" s="121"/>
      <c r="T15" s="121"/>
      <c r="U15" s="121"/>
      <c r="V15" s="121"/>
    </row>
    <row r="16" spans="1:22">
      <c r="A16" s="124" t="s">
        <v>129</v>
      </c>
      <c r="B16" s="125">
        <v>6.5</v>
      </c>
      <c r="C16" s="125">
        <v>9.3000000000000007</v>
      </c>
      <c r="D16" s="125">
        <v>3</v>
      </c>
      <c r="E16" s="120">
        <f t="shared" si="0"/>
        <v>79.45</v>
      </c>
      <c r="F16" s="126">
        <f t="shared" si="1"/>
        <v>238.35000000000002</v>
      </c>
      <c r="G16" s="125" t="s">
        <v>120</v>
      </c>
      <c r="H16" s="113"/>
      <c r="I16" s="113"/>
      <c r="J16" s="124" t="s">
        <v>129</v>
      </c>
      <c r="K16" s="121"/>
      <c r="L16" s="123">
        <f t="shared" si="3"/>
        <v>517.58999999999992</v>
      </c>
      <c r="M16" s="123">
        <f t="shared" si="4"/>
        <v>517.58999999999992</v>
      </c>
      <c r="N16" s="123" t="str">
        <f t="shared" si="2"/>
        <v>Cr</v>
      </c>
      <c r="O16" s="123">
        <f t="shared" si="5"/>
        <v>6.9</v>
      </c>
      <c r="P16" s="121"/>
      <c r="R16" s="121"/>
      <c r="S16" s="121"/>
      <c r="T16" s="121"/>
      <c r="U16" s="121"/>
      <c r="V16" s="121"/>
    </row>
    <row r="17" spans="1:22">
      <c r="A17" s="124" t="s">
        <v>129</v>
      </c>
      <c r="B17" s="125">
        <v>6.8</v>
      </c>
      <c r="C17" s="125">
        <v>9</v>
      </c>
      <c r="D17" s="125">
        <v>2.1</v>
      </c>
      <c r="E17" s="120">
        <f t="shared" si="0"/>
        <v>80.199999999999989</v>
      </c>
      <c r="F17" s="126">
        <f t="shared" si="1"/>
        <v>168.42</v>
      </c>
      <c r="G17" s="125" t="s">
        <v>207</v>
      </c>
      <c r="H17" s="113"/>
      <c r="I17" s="113"/>
      <c r="J17" s="124" t="s">
        <v>129</v>
      </c>
      <c r="K17" s="121"/>
      <c r="L17" s="123">
        <f t="shared" si="3"/>
        <v>686.00999999999988</v>
      </c>
      <c r="M17" s="123">
        <f t="shared" si="4"/>
        <v>686.00999999999988</v>
      </c>
      <c r="N17" s="123" t="str">
        <f t="shared" si="2"/>
        <v>Cr</v>
      </c>
      <c r="O17" s="123">
        <f t="shared" si="5"/>
        <v>9</v>
      </c>
      <c r="P17" s="121"/>
      <c r="R17" s="121"/>
      <c r="S17" s="121"/>
      <c r="T17" s="121"/>
      <c r="U17" s="121"/>
      <c r="V17" s="121"/>
    </row>
    <row r="18" spans="1:22">
      <c r="A18" s="124" t="s">
        <v>130</v>
      </c>
      <c r="B18" s="125">
        <v>5.0999999999999996</v>
      </c>
      <c r="C18" s="125">
        <v>9.3000000000000007</v>
      </c>
      <c r="D18" s="125">
        <v>3.5</v>
      </c>
      <c r="E18" s="120">
        <f t="shared" si="0"/>
        <v>70.349999999999994</v>
      </c>
      <c r="F18" s="126">
        <f t="shared" si="1"/>
        <v>246.22499999999997</v>
      </c>
      <c r="G18" s="125" t="s">
        <v>120</v>
      </c>
      <c r="H18" s="113"/>
      <c r="I18" s="113"/>
      <c r="J18" s="124" t="s">
        <v>130</v>
      </c>
      <c r="K18" s="121"/>
      <c r="L18" s="123">
        <f t="shared" si="3"/>
        <v>932.2349999999999</v>
      </c>
      <c r="M18" s="123">
        <f t="shared" si="4"/>
        <v>932.2349999999999</v>
      </c>
      <c r="N18" s="123" t="str">
        <f t="shared" si="2"/>
        <v>Cr</v>
      </c>
      <c r="O18" s="123">
        <f t="shared" si="5"/>
        <v>12.5</v>
      </c>
      <c r="P18" s="121"/>
    </row>
    <row r="19" spans="1:22">
      <c r="A19" s="124" t="s">
        <v>131</v>
      </c>
      <c r="B19" s="125">
        <v>6</v>
      </c>
      <c r="C19" s="125">
        <v>9.3000000000000007</v>
      </c>
      <c r="D19" s="125">
        <v>3.5</v>
      </c>
      <c r="E19" s="120">
        <f t="shared" si="0"/>
        <v>76.2</v>
      </c>
      <c r="F19" s="126">
        <f t="shared" si="1"/>
        <v>266.7</v>
      </c>
      <c r="G19" s="125" t="s">
        <v>120</v>
      </c>
      <c r="H19" s="113"/>
      <c r="I19" s="113"/>
      <c r="J19" s="124" t="s">
        <v>131</v>
      </c>
      <c r="K19" s="121"/>
      <c r="L19" s="123">
        <f t="shared" si="3"/>
        <v>1198.9349999999999</v>
      </c>
      <c r="M19" s="123">
        <f t="shared" si="4"/>
        <v>1198.9349999999999</v>
      </c>
      <c r="N19" s="123" t="str">
        <f t="shared" si="2"/>
        <v>Cr</v>
      </c>
      <c r="O19" s="123">
        <f t="shared" si="5"/>
        <v>16</v>
      </c>
      <c r="P19" s="121"/>
    </row>
    <row r="20" spans="1:22">
      <c r="A20" s="124" t="s">
        <v>132</v>
      </c>
      <c r="B20" s="125">
        <v>7.1</v>
      </c>
      <c r="C20" s="125">
        <v>8.6999999999999993</v>
      </c>
      <c r="D20" s="125">
        <v>4</v>
      </c>
      <c r="E20" s="120">
        <f t="shared" si="0"/>
        <v>80.949999999999989</v>
      </c>
      <c r="F20" s="126">
        <f t="shared" si="1"/>
        <v>323.79999999999995</v>
      </c>
      <c r="G20" s="125" t="s">
        <v>120</v>
      </c>
      <c r="H20" s="113"/>
      <c r="I20" s="113"/>
      <c r="J20" s="124" t="s">
        <v>132</v>
      </c>
      <c r="K20" s="121"/>
      <c r="L20" s="123">
        <f t="shared" si="3"/>
        <v>1522.7349999999999</v>
      </c>
      <c r="M20" s="123">
        <f t="shared" si="4"/>
        <v>1522.7349999999999</v>
      </c>
      <c r="N20" s="123" t="str">
        <f t="shared" si="2"/>
        <v>Cr</v>
      </c>
      <c r="O20" s="123">
        <f t="shared" si="5"/>
        <v>20</v>
      </c>
      <c r="P20" s="121"/>
    </row>
    <row r="21" spans="1:22">
      <c r="A21" s="124" t="s">
        <v>132</v>
      </c>
      <c r="B21" s="125">
        <v>6.5</v>
      </c>
      <c r="C21" s="125">
        <v>8</v>
      </c>
      <c r="D21" s="125">
        <v>2.5</v>
      </c>
      <c r="E21" s="120">
        <f t="shared" si="0"/>
        <v>74.25</v>
      </c>
      <c r="F21" s="126">
        <f t="shared" si="1"/>
        <v>185.625</v>
      </c>
      <c r="G21" s="125" t="s">
        <v>207</v>
      </c>
      <c r="H21" s="113"/>
      <c r="I21" s="113"/>
      <c r="J21" s="124" t="s">
        <v>132</v>
      </c>
      <c r="K21" s="121"/>
      <c r="L21" s="123">
        <f t="shared" si="3"/>
        <v>1708.36</v>
      </c>
      <c r="M21" s="123">
        <f t="shared" si="4"/>
        <v>1708.36</v>
      </c>
      <c r="N21" s="123" t="str">
        <f t="shared" si="2"/>
        <v>Cr</v>
      </c>
      <c r="O21" s="123">
        <f t="shared" si="5"/>
        <v>22.5</v>
      </c>
      <c r="P21" s="121"/>
    </row>
    <row r="22" spans="1:22">
      <c r="A22" s="124" t="s">
        <v>133</v>
      </c>
      <c r="B22" s="125">
        <v>5.9</v>
      </c>
      <c r="C22" s="125">
        <v>9.3000000000000007</v>
      </c>
      <c r="D22" s="125">
        <v>3.2</v>
      </c>
      <c r="E22" s="120">
        <f t="shared" si="0"/>
        <v>75.550000000000011</v>
      </c>
      <c r="F22" s="126">
        <f t="shared" si="1"/>
        <v>241.76000000000005</v>
      </c>
      <c r="G22" s="125" t="s">
        <v>120</v>
      </c>
      <c r="H22" s="113"/>
      <c r="I22" s="113"/>
      <c r="J22" s="124" t="s">
        <v>133</v>
      </c>
      <c r="K22" s="121"/>
      <c r="L22" s="123">
        <f t="shared" si="3"/>
        <v>1950.12</v>
      </c>
      <c r="M22" s="123">
        <f t="shared" si="4"/>
        <v>1950.12</v>
      </c>
      <c r="N22" s="123" t="str">
        <f t="shared" si="2"/>
        <v>Cr</v>
      </c>
      <c r="O22" s="123">
        <f t="shared" si="5"/>
        <v>25.7</v>
      </c>
      <c r="P22" s="121"/>
    </row>
    <row r="23" spans="1:22">
      <c r="A23" s="124" t="s">
        <v>133</v>
      </c>
      <c r="B23" s="125">
        <v>5.78</v>
      </c>
      <c r="C23" s="125">
        <v>9.6</v>
      </c>
      <c r="D23" s="125">
        <v>3.1</v>
      </c>
      <c r="E23" s="120">
        <f t="shared" si="0"/>
        <v>75.97</v>
      </c>
      <c r="F23" s="126">
        <f t="shared" si="1"/>
        <v>235.50700000000001</v>
      </c>
      <c r="G23" s="125" t="s">
        <v>207</v>
      </c>
      <c r="H23" s="113"/>
      <c r="I23" s="113"/>
      <c r="J23" s="124" t="s">
        <v>133</v>
      </c>
      <c r="K23" s="121"/>
      <c r="L23" s="123">
        <f t="shared" si="3"/>
        <v>2185.627</v>
      </c>
      <c r="M23" s="123">
        <f t="shared" si="4"/>
        <v>2185.627</v>
      </c>
      <c r="N23" s="123" t="str">
        <f t="shared" si="2"/>
        <v>Cr</v>
      </c>
      <c r="O23" s="123">
        <f t="shared" si="5"/>
        <v>28.8</v>
      </c>
      <c r="P23" s="121"/>
    </row>
    <row r="24" spans="1:22">
      <c r="A24" s="124" t="s">
        <v>134</v>
      </c>
      <c r="B24" s="125">
        <v>5.56</v>
      </c>
      <c r="C24" s="125">
        <v>9</v>
      </c>
      <c r="D24" s="125">
        <v>3.6</v>
      </c>
      <c r="E24" s="120">
        <f t="shared" si="0"/>
        <v>72.14</v>
      </c>
      <c r="F24" s="126">
        <f t="shared" si="1"/>
        <v>259.70400000000001</v>
      </c>
      <c r="G24" s="125" t="s">
        <v>120</v>
      </c>
      <c r="H24" s="113"/>
      <c r="I24" s="113"/>
      <c r="J24" s="124" t="s">
        <v>134</v>
      </c>
      <c r="K24" s="127"/>
      <c r="L24" s="128">
        <f>(L23+F24)</f>
        <v>2445.3310000000001</v>
      </c>
      <c r="M24" s="128">
        <f t="shared" si="4"/>
        <v>2445.3310000000001</v>
      </c>
      <c r="N24" s="128" t="str">
        <f t="shared" si="2"/>
        <v>Cr</v>
      </c>
      <c r="O24" s="123">
        <f t="shared" si="5"/>
        <v>32.4</v>
      </c>
      <c r="P24" s="127"/>
    </row>
    <row r="25" spans="1:22">
      <c r="A25" s="124" t="s">
        <v>134</v>
      </c>
      <c r="B25" s="125">
        <v>5.56</v>
      </c>
      <c r="C25" s="125">
        <v>9</v>
      </c>
      <c r="D25" s="125">
        <v>2</v>
      </c>
      <c r="E25" s="120">
        <f t="shared" si="0"/>
        <v>72.14</v>
      </c>
      <c r="F25" s="126">
        <f t="shared" si="1"/>
        <v>144.28</v>
      </c>
      <c r="G25" s="125" t="s">
        <v>207</v>
      </c>
      <c r="H25" s="113"/>
      <c r="I25" s="113"/>
      <c r="J25" s="124" t="s">
        <v>134</v>
      </c>
      <c r="K25" s="121"/>
      <c r="L25" s="123">
        <f t="shared" si="3"/>
        <v>2589.6110000000003</v>
      </c>
      <c r="M25" s="123">
        <f t="shared" si="4"/>
        <v>2589.6110000000003</v>
      </c>
      <c r="N25" s="123" t="str">
        <f t="shared" si="2"/>
        <v>Cr</v>
      </c>
      <c r="O25" s="123">
        <f t="shared" si="5"/>
        <v>34.4</v>
      </c>
      <c r="P25" s="121"/>
    </row>
    <row r="26" spans="1:22">
      <c r="A26" s="124" t="s">
        <v>135</v>
      </c>
      <c r="B26" s="125">
        <v>5.25</v>
      </c>
      <c r="C26" s="125">
        <v>9.4700000000000006</v>
      </c>
      <c r="D26" s="125">
        <v>4.0999999999999996</v>
      </c>
      <c r="E26" s="120">
        <f t="shared" si="0"/>
        <v>72.004999999999995</v>
      </c>
      <c r="F26" s="126">
        <f t="shared" si="1"/>
        <v>295.22049999999996</v>
      </c>
      <c r="G26" s="125" t="s">
        <v>120</v>
      </c>
      <c r="H26" s="113"/>
      <c r="I26" s="113"/>
      <c r="J26" s="124" t="s">
        <v>135</v>
      </c>
      <c r="K26" s="121"/>
      <c r="L26" s="123">
        <f t="shared" si="3"/>
        <v>2884.8315000000002</v>
      </c>
      <c r="M26" s="123">
        <f t="shared" si="4"/>
        <v>2884.8315000000002</v>
      </c>
      <c r="N26" s="123" t="str">
        <f t="shared" si="2"/>
        <v>Cr</v>
      </c>
      <c r="O26" s="123">
        <f t="shared" si="5"/>
        <v>38.5</v>
      </c>
      <c r="P26" s="121"/>
    </row>
    <row r="27" spans="1:22">
      <c r="A27" s="124" t="s">
        <v>135</v>
      </c>
      <c r="B27" s="125">
        <v>7.2</v>
      </c>
      <c r="C27" s="125">
        <v>9</v>
      </c>
      <c r="D27" s="125">
        <v>2.6</v>
      </c>
      <c r="E27" s="120">
        <f t="shared" si="0"/>
        <v>82.800000000000011</v>
      </c>
      <c r="F27" s="126">
        <f t="shared" si="1"/>
        <v>215.28000000000003</v>
      </c>
      <c r="G27" s="125" t="s">
        <v>207</v>
      </c>
      <c r="H27" s="113"/>
      <c r="I27" s="113"/>
      <c r="J27" s="124" t="s">
        <v>135</v>
      </c>
      <c r="K27" s="121"/>
      <c r="L27" s="123">
        <f t="shared" si="3"/>
        <v>3100.1115000000004</v>
      </c>
      <c r="M27" s="123">
        <f t="shared" si="4"/>
        <v>3100.1115000000004</v>
      </c>
      <c r="N27" s="123" t="str">
        <f t="shared" si="2"/>
        <v>Cr</v>
      </c>
      <c r="O27" s="123">
        <f t="shared" si="5"/>
        <v>41.1</v>
      </c>
      <c r="P27" s="121"/>
    </row>
    <row r="28" spans="1:22">
      <c r="A28" s="124" t="s">
        <v>136</v>
      </c>
      <c r="B28" s="125">
        <v>6.5</v>
      </c>
      <c r="C28" s="125">
        <v>9.65</v>
      </c>
      <c r="D28" s="125">
        <v>3.9</v>
      </c>
      <c r="E28" s="120">
        <f t="shared" si="0"/>
        <v>80.849999999999994</v>
      </c>
      <c r="F28" s="126">
        <f t="shared" si="1"/>
        <v>315.315</v>
      </c>
      <c r="G28" s="125" t="s">
        <v>120</v>
      </c>
      <c r="H28" s="113"/>
      <c r="I28" s="113"/>
      <c r="J28" s="124" t="s">
        <v>136</v>
      </c>
      <c r="K28" s="121"/>
      <c r="L28" s="123">
        <f t="shared" si="3"/>
        <v>3415.4265000000005</v>
      </c>
      <c r="M28" s="123">
        <f t="shared" si="4"/>
        <v>3415.4265000000005</v>
      </c>
      <c r="N28" s="123" t="str">
        <f t="shared" si="2"/>
        <v>Cr</v>
      </c>
      <c r="O28" s="123">
        <f t="shared" si="5"/>
        <v>45</v>
      </c>
      <c r="P28" s="121"/>
    </row>
    <row r="29" spans="1:22">
      <c r="A29" s="124" t="s">
        <v>136</v>
      </c>
      <c r="B29" s="125">
        <v>6.9</v>
      </c>
      <c r="C29" s="125">
        <v>8</v>
      </c>
      <c r="D29" s="125">
        <v>2</v>
      </c>
      <c r="E29" s="120">
        <f t="shared" si="0"/>
        <v>76.849999999999994</v>
      </c>
      <c r="F29" s="126">
        <f t="shared" si="1"/>
        <v>153.69999999999999</v>
      </c>
      <c r="G29" s="125" t="s">
        <v>207</v>
      </c>
      <c r="H29" s="113"/>
      <c r="I29" s="113"/>
      <c r="J29" s="124" t="s">
        <v>136</v>
      </c>
      <c r="K29" s="121">
        <v>3569.0126500000001</v>
      </c>
      <c r="L29" s="123">
        <f t="shared" si="3"/>
        <v>3569.1265000000003</v>
      </c>
      <c r="M29" s="123">
        <f t="shared" si="4"/>
        <v>0.11385000000018408</v>
      </c>
      <c r="N29" s="123" t="str">
        <f t="shared" si="2"/>
        <v>Cr</v>
      </c>
      <c r="O29" s="123">
        <f t="shared" si="5"/>
        <v>47</v>
      </c>
      <c r="P29" s="121"/>
    </row>
    <row r="30" spans="1:22">
      <c r="A30" s="129" t="s">
        <v>138</v>
      </c>
      <c r="B30" s="130">
        <v>6.58</v>
      </c>
      <c r="C30" s="130">
        <v>9.39</v>
      </c>
      <c r="D30" s="130">
        <v>4</v>
      </c>
      <c r="E30" s="131">
        <f t="shared" si="0"/>
        <v>80.330000000000013</v>
      </c>
      <c r="F30" s="131">
        <f t="shared" si="1"/>
        <v>321.32000000000005</v>
      </c>
      <c r="G30" s="130" t="s">
        <v>120</v>
      </c>
      <c r="H30" s="112"/>
      <c r="I30" s="112"/>
      <c r="J30" s="129" t="s">
        <v>138</v>
      </c>
      <c r="K30" s="132"/>
      <c r="L30" s="133">
        <f t="shared" si="3"/>
        <v>3890.4465000000005</v>
      </c>
      <c r="M30" s="133">
        <f t="shared" si="4"/>
        <v>321.43385000000023</v>
      </c>
      <c r="N30" s="134" t="str">
        <f t="shared" si="2"/>
        <v>Cr</v>
      </c>
      <c r="O30" s="133">
        <f t="shared" si="5"/>
        <v>51</v>
      </c>
      <c r="P30" s="132"/>
    </row>
    <row r="31" spans="1:22">
      <c r="A31" s="129" t="s">
        <v>138</v>
      </c>
      <c r="B31" s="130">
        <v>6.64</v>
      </c>
      <c r="C31" s="130">
        <v>6.68</v>
      </c>
      <c r="D31" s="130">
        <v>2.2799999999999998</v>
      </c>
      <c r="E31" s="131">
        <f t="shared" si="0"/>
        <v>69.88</v>
      </c>
      <c r="F31" s="131">
        <f t="shared" si="1"/>
        <v>159.32639999999998</v>
      </c>
      <c r="G31" s="130" t="s">
        <v>207</v>
      </c>
      <c r="H31" s="112"/>
      <c r="I31" s="112"/>
      <c r="J31" s="129" t="s">
        <v>138</v>
      </c>
      <c r="K31" s="132"/>
      <c r="L31" s="133">
        <f t="shared" si="3"/>
        <v>4049.7729000000004</v>
      </c>
      <c r="M31" s="133">
        <f t="shared" si="4"/>
        <v>480.76025000000021</v>
      </c>
      <c r="N31" s="134" t="str">
        <f t="shared" si="2"/>
        <v>Cr</v>
      </c>
      <c r="O31" s="133">
        <f t="shared" si="5"/>
        <v>53.28</v>
      </c>
      <c r="P31" s="132"/>
    </row>
    <row r="32" spans="1:22">
      <c r="A32" s="124" t="s">
        <v>139</v>
      </c>
      <c r="B32" s="125">
        <v>6.96</v>
      </c>
      <c r="C32" s="125">
        <v>9</v>
      </c>
      <c r="D32" s="125">
        <v>3.8</v>
      </c>
      <c r="E32" s="120">
        <f t="shared" si="0"/>
        <v>81.240000000000009</v>
      </c>
      <c r="F32" s="126">
        <f t="shared" si="1"/>
        <v>308.71200000000005</v>
      </c>
      <c r="G32" s="125" t="s">
        <v>120</v>
      </c>
      <c r="H32" s="113"/>
      <c r="I32" s="113"/>
      <c r="J32" s="124" t="s">
        <v>139</v>
      </c>
      <c r="K32" s="121"/>
      <c r="L32" s="123">
        <f t="shared" si="3"/>
        <v>4358.4849000000004</v>
      </c>
      <c r="M32" s="123">
        <f t="shared" si="4"/>
        <v>789.47225000000026</v>
      </c>
      <c r="N32" s="123" t="str">
        <f t="shared" si="2"/>
        <v>Cr</v>
      </c>
      <c r="O32" s="123">
        <f t="shared" si="5"/>
        <v>57.08</v>
      </c>
      <c r="P32" s="121"/>
    </row>
    <row r="33" spans="1:16">
      <c r="A33" s="124" t="s">
        <v>139</v>
      </c>
      <c r="B33" s="125">
        <v>6.3</v>
      </c>
      <c r="C33" s="125">
        <v>8</v>
      </c>
      <c r="D33" s="125">
        <v>2</v>
      </c>
      <c r="E33" s="120">
        <f t="shared" si="0"/>
        <v>72.949999999999989</v>
      </c>
      <c r="F33" s="126">
        <f t="shared" si="1"/>
        <v>145.89999999999998</v>
      </c>
      <c r="G33" s="125" t="s">
        <v>207</v>
      </c>
      <c r="H33" s="113"/>
      <c r="I33" s="113"/>
      <c r="J33" s="124" t="s">
        <v>139</v>
      </c>
      <c r="K33" s="121"/>
      <c r="L33" s="123">
        <f t="shared" si="3"/>
        <v>4504.3849</v>
      </c>
      <c r="M33" s="123">
        <f t="shared" si="4"/>
        <v>935.37225000000024</v>
      </c>
      <c r="N33" s="123" t="str">
        <f t="shared" si="2"/>
        <v>Cr</v>
      </c>
      <c r="O33" s="123">
        <f t="shared" si="5"/>
        <v>59.08</v>
      </c>
      <c r="P33" s="121"/>
    </row>
    <row r="34" spans="1:16">
      <c r="A34" s="124" t="s">
        <v>140</v>
      </c>
      <c r="B34" s="125">
        <v>5.29</v>
      </c>
      <c r="C34" s="125">
        <v>9</v>
      </c>
      <c r="D34" s="125">
        <v>3.8</v>
      </c>
      <c r="E34" s="120">
        <f t="shared" si="0"/>
        <v>70.384999999999991</v>
      </c>
      <c r="F34" s="126">
        <f t="shared" si="1"/>
        <v>267.46299999999997</v>
      </c>
      <c r="G34" s="125" t="s">
        <v>120</v>
      </c>
      <c r="H34" s="113"/>
      <c r="I34" s="113"/>
      <c r="J34" s="124" t="s">
        <v>140</v>
      </c>
      <c r="K34" s="121"/>
      <c r="L34" s="123">
        <f t="shared" si="3"/>
        <v>4771.8478999999998</v>
      </c>
      <c r="M34" s="123">
        <f t="shared" si="4"/>
        <v>1202.8352500000001</v>
      </c>
      <c r="N34" s="123" t="str">
        <f t="shared" si="2"/>
        <v>Cr</v>
      </c>
      <c r="O34" s="123">
        <f>(O32+D34)</f>
        <v>60.879999999999995</v>
      </c>
      <c r="P34" s="121"/>
    </row>
    <row r="35" spans="1:16">
      <c r="A35" s="124" t="s">
        <v>140</v>
      </c>
      <c r="B35" s="125">
        <v>7</v>
      </c>
      <c r="C35" s="125">
        <v>9</v>
      </c>
      <c r="D35" s="125">
        <v>2.2000000000000002</v>
      </c>
      <c r="E35" s="120">
        <f t="shared" si="0"/>
        <v>81.5</v>
      </c>
      <c r="F35" s="126">
        <f t="shared" si="1"/>
        <v>179.3</v>
      </c>
      <c r="G35" s="125" t="s">
        <v>207</v>
      </c>
      <c r="H35" s="113"/>
      <c r="I35" s="113"/>
      <c r="J35" s="124" t="s">
        <v>140</v>
      </c>
      <c r="K35" s="121"/>
      <c r="L35" s="123">
        <f t="shared" si="3"/>
        <v>4951.1478999999999</v>
      </c>
      <c r="M35" s="123">
        <f t="shared" si="4"/>
        <v>1382.13525</v>
      </c>
      <c r="N35" s="123" t="str">
        <f t="shared" si="2"/>
        <v>Cr</v>
      </c>
      <c r="O35" s="123">
        <f t="shared" si="5"/>
        <v>63.08</v>
      </c>
      <c r="P35" s="121"/>
    </row>
    <row r="36" spans="1:16">
      <c r="A36" s="124" t="s">
        <v>141</v>
      </c>
      <c r="B36" s="125">
        <v>5.82</v>
      </c>
      <c r="C36" s="125">
        <v>9</v>
      </c>
      <c r="D36" s="125">
        <v>3.8</v>
      </c>
      <c r="E36" s="120">
        <f t="shared" si="0"/>
        <v>73.83</v>
      </c>
      <c r="F36" s="126">
        <f t="shared" si="1"/>
        <v>280.55399999999997</v>
      </c>
      <c r="G36" s="125" t="s">
        <v>120</v>
      </c>
      <c r="H36" s="113"/>
      <c r="I36" s="113"/>
      <c r="J36" s="124" t="s">
        <v>141</v>
      </c>
      <c r="K36" s="121"/>
      <c r="L36" s="123">
        <f t="shared" si="3"/>
        <v>5231.7019</v>
      </c>
      <c r="M36" s="123">
        <f t="shared" si="4"/>
        <v>1662.6892499999999</v>
      </c>
      <c r="N36" s="123" t="str">
        <f t="shared" si="2"/>
        <v>Cr</v>
      </c>
      <c r="O36" s="123">
        <f t="shared" si="5"/>
        <v>66.88</v>
      </c>
      <c r="P36" s="121"/>
    </row>
    <row r="37" spans="1:16">
      <c r="A37" s="124" t="s">
        <v>141</v>
      </c>
      <c r="B37" s="125">
        <v>7.9</v>
      </c>
      <c r="C37" s="125">
        <v>9</v>
      </c>
      <c r="D37" s="125">
        <v>2</v>
      </c>
      <c r="E37" s="120">
        <f t="shared" si="0"/>
        <v>87.35</v>
      </c>
      <c r="F37" s="126">
        <f t="shared" si="1"/>
        <v>174.7</v>
      </c>
      <c r="G37" s="125" t="s">
        <v>207</v>
      </c>
      <c r="H37" s="113"/>
      <c r="I37" s="113"/>
      <c r="J37" s="124" t="s">
        <v>141</v>
      </c>
      <c r="K37" s="121"/>
      <c r="L37" s="123">
        <f t="shared" si="3"/>
        <v>5406.4018999999998</v>
      </c>
      <c r="M37" s="123">
        <f t="shared" si="4"/>
        <v>1837.3892499999999</v>
      </c>
      <c r="N37" s="123" t="str">
        <f t="shared" si="2"/>
        <v>Cr</v>
      </c>
      <c r="O37" s="123">
        <f t="shared" si="5"/>
        <v>68.88</v>
      </c>
      <c r="P37" s="121"/>
    </row>
    <row r="38" spans="1:16">
      <c r="A38" s="124" t="s">
        <v>142</v>
      </c>
      <c r="B38" s="125">
        <v>6.28</v>
      </c>
      <c r="C38" s="125">
        <v>9.43</v>
      </c>
      <c r="D38" s="125">
        <v>3</v>
      </c>
      <c r="E38" s="120">
        <f t="shared" si="0"/>
        <v>78.539999999999992</v>
      </c>
      <c r="F38" s="126">
        <f t="shared" si="1"/>
        <v>235.61999999999998</v>
      </c>
      <c r="G38" s="125" t="s">
        <v>120</v>
      </c>
      <c r="H38" s="113"/>
      <c r="I38" s="113"/>
      <c r="J38" s="124" t="s">
        <v>142</v>
      </c>
      <c r="K38" s="121"/>
      <c r="L38" s="123">
        <f t="shared" si="3"/>
        <v>5642.0218999999997</v>
      </c>
      <c r="M38" s="123">
        <f t="shared" si="4"/>
        <v>2073.0092500000001</v>
      </c>
      <c r="N38" s="123" t="str">
        <f t="shared" si="2"/>
        <v>Cr</v>
      </c>
      <c r="O38" s="123">
        <f t="shared" si="5"/>
        <v>71.88</v>
      </c>
      <c r="P38" s="121"/>
    </row>
    <row r="39" spans="1:16">
      <c r="A39" s="124" t="s">
        <v>142</v>
      </c>
      <c r="B39" s="125">
        <v>7.57</v>
      </c>
      <c r="C39" s="125">
        <v>8.84</v>
      </c>
      <c r="D39" s="125">
        <v>2.9</v>
      </c>
      <c r="E39" s="120">
        <f t="shared" si="0"/>
        <v>84.564999999999998</v>
      </c>
      <c r="F39" s="126">
        <f t="shared" si="1"/>
        <v>245.23849999999999</v>
      </c>
      <c r="G39" s="125" t="s">
        <v>207</v>
      </c>
      <c r="H39" s="113"/>
      <c r="I39" s="113"/>
      <c r="J39" s="124" t="s">
        <v>142</v>
      </c>
      <c r="K39" s="121"/>
      <c r="L39" s="123">
        <f t="shared" si="3"/>
        <v>5887.2604000000001</v>
      </c>
      <c r="M39" s="123">
        <f t="shared" si="4"/>
        <v>2318.24775</v>
      </c>
      <c r="N39" s="123" t="str">
        <f t="shared" si="2"/>
        <v>Cr</v>
      </c>
      <c r="O39" s="123">
        <f t="shared" si="5"/>
        <v>74.78</v>
      </c>
      <c r="P39" s="121"/>
    </row>
    <row r="40" spans="1:16">
      <c r="A40" s="124" t="s">
        <v>143</v>
      </c>
      <c r="B40" s="125">
        <v>6.81</v>
      </c>
      <c r="C40" s="125">
        <v>9</v>
      </c>
      <c r="D40" s="125">
        <v>3</v>
      </c>
      <c r="E40" s="120">
        <f t="shared" si="0"/>
        <v>80.265000000000001</v>
      </c>
      <c r="F40" s="126">
        <f t="shared" si="1"/>
        <v>240.79500000000002</v>
      </c>
      <c r="G40" s="125" t="s">
        <v>120</v>
      </c>
      <c r="H40" s="113"/>
      <c r="I40" s="113"/>
      <c r="J40" s="124" t="s">
        <v>143</v>
      </c>
      <c r="K40" s="121"/>
      <c r="L40" s="123">
        <f t="shared" si="3"/>
        <v>6128.0554000000002</v>
      </c>
      <c r="M40" s="123">
        <f t="shared" si="4"/>
        <v>2559.0427500000001</v>
      </c>
      <c r="N40" s="123" t="str">
        <f t="shared" si="2"/>
        <v>Cr</v>
      </c>
      <c r="O40" s="123">
        <f t="shared" si="5"/>
        <v>77.78</v>
      </c>
      <c r="P40" s="121"/>
    </row>
    <row r="41" spans="1:16">
      <c r="A41" s="124" t="s">
        <v>143</v>
      </c>
      <c r="B41" s="125">
        <v>7</v>
      </c>
      <c r="C41" s="125">
        <v>8</v>
      </c>
      <c r="D41" s="125">
        <v>3</v>
      </c>
      <c r="E41" s="120">
        <f t="shared" si="0"/>
        <v>77.5</v>
      </c>
      <c r="F41" s="126">
        <f t="shared" si="1"/>
        <v>232.5</v>
      </c>
      <c r="G41" s="125" t="s">
        <v>207</v>
      </c>
      <c r="H41" s="113"/>
      <c r="I41" s="113"/>
      <c r="J41" s="124" t="s">
        <v>143</v>
      </c>
      <c r="K41" s="121"/>
      <c r="L41" s="123">
        <f t="shared" si="3"/>
        <v>6360.5554000000002</v>
      </c>
      <c r="M41" s="123">
        <f t="shared" si="4"/>
        <v>2791.5427500000001</v>
      </c>
      <c r="N41" s="123" t="str">
        <f t="shared" si="2"/>
        <v>Cr</v>
      </c>
      <c r="O41" s="123">
        <f t="shared" si="5"/>
        <v>80.78</v>
      </c>
      <c r="P41" s="121"/>
    </row>
    <row r="42" spans="1:16">
      <c r="A42" s="124" t="s">
        <v>144</v>
      </c>
      <c r="B42" s="125">
        <v>7.19</v>
      </c>
      <c r="C42" s="125">
        <v>9.24</v>
      </c>
      <c r="D42" s="125">
        <v>4</v>
      </c>
      <c r="E42" s="120">
        <f t="shared" si="0"/>
        <v>83.694999999999993</v>
      </c>
      <c r="F42" s="126">
        <f t="shared" si="1"/>
        <v>334.78</v>
      </c>
      <c r="G42" s="125" t="s">
        <v>120</v>
      </c>
      <c r="H42" s="113"/>
      <c r="I42" s="113"/>
      <c r="J42" s="124" t="s">
        <v>144</v>
      </c>
      <c r="K42" s="121"/>
      <c r="L42" s="123">
        <f t="shared" si="3"/>
        <v>6695.3353999999999</v>
      </c>
      <c r="M42" s="123">
        <f t="shared" si="4"/>
        <v>3126.3227500000003</v>
      </c>
      <c r="N42" s="123" t="str">
        <f t="shared" si="2"/>
        <v>Cr</v>
      </c>
      <c r="O42" s="123">
        <f t="shared" si="5"/>
        <v>84.78</v>
      </c>
      <c r="P42" s="121"/>
    </row>
    <row r="43" spans="1:16">
      <c r="A43" s="124" t="s">
        <v>144</v>
      </c>
      <c r="B43" s="125">
        <v>8</v>
      </c>
      <c r="C43" s="125">
        <v>9</v>
      </c>
      <c r="D43" s="125">
        <v>1.6</v>
      </c>
      <c r="E43" s="120">
        <f t="shared" si="0"/>
        <v>88</v>
      </c>
      <c r="F43" s="126">
        <f t="shared" si="1"/>
        <v>140.80000000000001</v>
      </c>
      <c r="G43" s="125" t="s">
        <v>207</v>
      </c>
      <c r="H43" s="113"/>
      <c r="I43" s="113"/>
      <c r="J43" s="124" t="s">
        <v>144</v>
      </c>
      <c r="K43" s="121"/>
      <c r="L43" s="123">
        <f t="shared" si="3"/>
        <v>6836.1354000000001</v>
      </c>
      <c r="M43" s="123">
        <f t="shared" si="4"/>
        <v>3267.1227500000005</v>
      </c>
      <c r="N43" s="123" t="str">
        <f t="shared" si="2"/>
        <v>Cr</v>
      </c>
      <c r="O43" s="123">
        <f t="shared" si="5"/>
        <v>86.38</v>
      </c>
      <c r="P43" s="121"/>
    </row>
    <row r="44" spans="1:16">
      <c r="A44" s="135" t="s">
        <v>145</v>
      </c>
      <c r="B44" s="136"/>
      <c r="C44" s="136"/>
      <c r="D44" s="136"/>
      <c r="E44" s="137">
        <f t="shared" si="0"/>
        <v>0</v>
      </c>
      <c r="F44" s="137">
        <f t="shared" si="1"/>
        <v>0</v>
      </c>
      <c r="G44" s="136" t="s">
        <v>155</v>
      </c>
      <c r="H44" s="113"/>
      <c r="I44" s="113"/>
      <c r="J44" s="135" t="s">
        <v>145</v>
      </c>
      <c r="K44" s="121"/>
      <c r="L44" s="123">
        <f t="shared" si="3"/>
        <v>6836.1354000000001</v>
      </c>
      <c r="M44" s="123">
        <f t="shared" si="4"/>
        <v>3267.1227500000005</v>
      </c>
      <c r="N44" s="123" t="str">
        <f t="shared" si="2"/>
        <v>Cr</v>
      </c>
      <c r="O44" s="123">
        <f t="shared" si="5"/>
        <v>86.38</v>
      </c>
      <c r="P44" s="121"/>
    </row>
    <row r="45" spans="1:16">
      <c r="A45" s="124" t="s">
        <v>146</v>
      </c>
      <c r="B45" s="125">
        <v>6</v>
      </c>
      <c r="C45" s="125">
        <v>9</v>
      </c>
      <c r="D45" s="125">
        <v>3.9</v>
      </c>
      <c r="E45" s="120">
        <f t="shared" si="0"/>
        <v>75</v>
      </c>
      <c r="F45" s="126">
        <f t="shared" si="1"/>
        <v>292.5</v>
      </c>
      <c r="G45" s="125" t="s">
        <v>120</v>
      </c>
      <c r="H45" s="113"/>
      <c r="I45" s="113"/>
      <c r="J45" s="124" t="s">
        <v>146</v>
      </c>
      <c r="K45" s="121"/>
      <c r="L45" s="123">
        <f t="shared" si="3"/>
        <v>7128.6354000000001</v>
      </c>
      <c r="M45" s="123">
        <f t="shared" si="4"/>
        <v>3559.6227500000005</v>
      </c>
      <c r="N45" s="123" t="str">
        <f t="shared" si="2"/>
        <v>Cr</v>
      </c>
      <c r="O45" s="123">
        <f t="shared" si="5"/>
        <v>90.28</v>
      </c>
      <c r="P45" s="121"/>
    </row>
    <row r="46" spans="1:16">
      <c r="A46" s="124" t="s">
        <v>146</v>
      </c>
      <c r="B46" s="125">
        <v>7</v>
      </c>
      <c r="C46" s="125">
        <v>8.5</v>
      </c>
      <c r="D46" s="125">
        <v>2.2000000000000002</v>
      </c>
      <c r="E46" s="120">
        <f t="shared" si="0"/>
        <v>79.5</v>
      </c>
      <c r="F46" s="126">
        <f t="shared" si="1"/>
        <v>174.9</v>
      </c>
      <c r="G46" s="125" t="s">
        <v>207</v>
      </c>
      <c r="H46" s="113"/>
      <c r="I46" s="113"/>
      <c r="J46" s="124" t="s">
        <v>146</v>
      </c>
      <c r="K46" s="121"/>
      <c r="L46" s="123">
        <f t="shared" si="3"/>
        <v>7303.5353999999998</v>
      </c>
      <c r="M46" s="123">
        <f t="shared" si="4"/>
        <v>3734.5227500000005</v>
      </c>
      <c r="N46" s="123" t="str">
        <f t="shared" si="2"/>
        <v>Cr</v>
      </c>
      <c r="O46" s="123">
        <f t="shared" si="5"/>
        <v>92.48</v>
      </c>
      <c r="P46" s="121"/>
    </row>
    <row r="47" spans="1:16">
      <c r="A47" s="124" t="s">
        <v>147</v>
      </c>
      <c r="B47" s="125">
        <v>6.8</v>
      </c>
      <c r="C47" s="125">
        <v>9</v>
      </c>
      <c r="D47" s="125">
        <v>2.5</v>
      </c>
      <c r="E47" s="120">
        <f t="shared" si="0"/>
        <v>80.199999999999989</v>
      </c>
      <c r="F47" s="126">
        <f t="shared" si="1"/>
        <v>200.49999999999997</v>
      </c>
      <c r="G47" s="125" t="s">
        <v>120</v>
      </c>
      <c r="H47" s="113"/>
      <c r="I47" s="113"/>
      <c r="J47" s="124" t="s">
        <v>147</v>
      </c>
      <c r="K47" s="121"/>
      <c r="L47" s="123">
        <f t="shared" si="3"/>
        <v>7504.0353999999998</v>
      </c>
      <c r="M47" s="123">
        <f t="shared" si="4"/>
        <v>3935.0227500000005</v>
      </c>
      <c r="N47" s="123" t="str">
        <f t="shared" si="2"/>
        <v>Cr</v>
      </c>
      <c r="O47" s="123">
        <f t="shared" si="5"/>
        <v>94.98</v>
      </c>
      <c r="P47" s="121"/>
    </row>
    <row r="48" spans="1:16">
      <c r="A48" s="124" t="s">
        <v>147</v>
      </c>
      <c r="B48" s="125">
        <v>6.6</v>
      </c>
      <c r="C48" s="125">
        <v>8.57</v>
      </c>
      <c r="D48" s="125">
        <v>2.2999999999999998</v>
      </c>
      <c r="E48" s="120">
        <f t="shared" si="0"/>
        <v>77.180000000000007</v>
      </c>
      <c r="F48" s="126">
        <f t="shared" si="1"/>
        <v>177.51400000000001</v>
      </c>
      <c r="G48" s="125" t="s">
        <v>207</v>
      </c>
      <c r="H48" s="113"/>
      <c r="I48" s="113"/>
      <c r="J48" s="124" t="s">
        <v>147</v>
      </c>
      <c r="K48" s="121"/>
      <c r="L48" s="123">
        <f t="shared" si="3"/>
        <v>7681.5493999999999</v>
      </c>
      <c r="M48" s="123">
        <f t="shared" si="4"/>
        <v>4112.5367500000002</v>
      </c>
      <c r="N48" s="123" t="str">
        <f t="shared" si="2"/>
        <v>Cr</v>
      </c>
      <c r="O48" s="123">
        <f t="shared" si="5"/>
        <v>97.28</v>
      </c>
      <c r="P48" s="121"/>
    </row>
    <row r="49" spans="1:16">
      <c r="A49" s="124" t="s">
        <v>148</v>
      </c>
      <c r="B49" s="138">
        <v>6.5</v>
      </c>
      <c r="C49" s="138">
        <v>8</v>
      </c>
      <c r="D49" s="138">
        <v>1.8</v>
      </c>
      <c r="E49" s="139">
        <f t="shared" si="0"/>
        <v>74.25</v>
      </c>
      <c r="F49" s="140">
        <f t="shared" ref="F49:F85" si="6">(B49*6.5+C49*4)*D49</f>
        <v>133.65</v>
      </c>
      <c r="G49" s="138" t="s">
        <v>207</v>
      </c>
      <c r="H49" s="113"/>
      <c r="I49" s="113"/>
      <c r="J49" s="124" t="s">
        <v>148</v>
      </c>
      <c r="K49" s="141"/>
      <c r="L49" s="123">
        <f t="shared" si="3"/>
        <v>7815.1993999999995</v>
      </c>
      <c r="M49" s="123">
        <f t="shared" si="4"/>
        <v>4246.1867499999998</v>
      </c>
      <c r="N49" s="123" t="str">
        <f t="shared" si="2"/>
        <v>Cr</v>
      </c>
      <c r="O49" s="123">
        <f t="shared" si="5"/>
        <v>99.08</v>
      </c>
      <c r="P49" s="141"/>
    </row>
    <row r="50" spans="1:16">
      <c r="A50" s="142" t="s">
        <v>149</v>
      </c>
      <c r="B50" s="143">
        <v>6.5</v>
      </c>
      <c r="C50" s="143">
        <v>8.1999999999999993</v>
      </c>
      <c r="D50" s="143">
        <v>1.8</v>
      </c>
      <c r="E50" s="123">
        <f t="shared" si="0"/>
        <v>75.05</v>
      </c>
      <c r="F50" s="140">
        <f t="shared" si="6"/>
        <v>135.09</v>
      </c>
      <c r="G50" s="143" t="s">
        <v>207</v>
      </c>
      <c r="J50" s="142" t="s">
        <v>149</v>
      </c>
      <c r="K50" s="121"/>
      <c r="L50" s="123">
        <f t="shared" si="3"/>
        <v>7950.2893999999997</v>
      </c>
      <c r="M50" s="123">
        <f t="shared" si="4"/>
        <v>4381.27675</v>
      </c>
      <c r="N50" s="123" t="str">
        <f t="shared" si="2"/>
        <v>Cr</v>
      </c>
      <c r="O50" s="123">
        <f t="shared" si="5"/>
        <v>100.88</v>
      </c>
      <c r="P50" s="121"/>
    </row>
    <row r="51" spans="1:16">
      <c r="A51" s="142" t="s">
        <v>150</v>
      </c>
      <c r="B51" s="143">
        <v>6.21</v>
      </c>
      <c r="C51" s="143">
        <v>9</v>
      </c>
      <c r="D51" s="143">
        <v>2.5</v>
      </c>
      <c r="E51" s="123">
        <f t="shared" si="0"/>
        <v>76.365000000000009</v>
      </c>
      <c r="F51" s="140">
        <f t="shared" si="6"/>
        <v>190.91250000000002</v>
      </c>
      <c r="G51" s="143" t="s">
        <v>120</v>
      </c>
      <c r="J51" s="142" t="s">
        <v>150</v>
      </c>
      <c r="K51" s="143"/>
      <c r="L51" s="123">
        <f t="shared" si="3"/>
        <v>8141.2019</v>
      </c>
      <c r="M51" s="123">
        <f t="shared" si="4"/>
        <v>4572.1892500000004</v>
      </c>
      <c r="N51" s="123" t="str">
        <f t="shared" si="2"/>
        <v>Cr</v>
      </c>
      <c r="O51" s="123">
        <f t="shared" si="5"/>
        <v>103.38</v>
      </c>
      <c r="P51" s="143"/>
    </row>
    <row r="52" spans="1:16">
      <c r="A52" s="142" t="s">
        <v>150</v>
      </c>
      <c r="B52" s="143">
        <v>6.6</v>
      </c>
      <c r="C52" s="143">
        <v>8.3000000000000007</v>
      </c>
      <c r="D52" s="143">
        <v>2</v>
      </c>
      <c r="E52" s="123">
        <f t="shared" si="0"/>
        <v>76.099999999999994</v>
      </c>
      <c r="F52" s="140">
        <f t="shared" si="6"/>
        <v>152.19999999999999</v>
      </c>
      <c r="G52" s="143" t="s">
        <v>207</v>
      </c>
      <c r="J52" s="142" t="s">
        <v>150</v>
      </c>
      <c r="K52" s="143"/>
      <c r="L52" s="123">
        <f t="shared" si="3"/>
        <v>8293.4019000000008</v>
      </c>
      <c r="M52" s="123">
        <f t="shared" si="4"/>
        <v>4724.3892500000002</v>
      </c>
      <c r="N52" s="123" t="str">
        <f t="shared" si="2"/>
        <v>Cr</v>
      </c>
      <c r="O52" s="123">
        <f t="shared" si="5"/>
        <v>105.38</v>
      </c>
      <c r="P52" s="143"/>
    </row>
    <row r="53" spans="1:16">
      <c r="A53" s="142" t="s">
        <v>151</v>
      </c>
      <c r="B53" s="143">
        <v>6.2</v>
      </c>
      <c r="C53" s="143">
        <v>9</v>
      </c>
      <c r="D53" s="143">
        <v>2.5</v>
      </c>
      <c r="E53" s="123">
        <f t="shared" si="0"/>
        <v>76.300000000000011</v>
      </c>
      <c r="F53" s="140">
        <f t="shared" si="6"/>
        <v>190.75000000000003</v>
      </c>
      <c r="G53" s="143" t="s">
        <v>120</v>
      </c>
      <c r="J53" s="142" t="s">
        <v>151</v>
      </c>
      <c r="K53" s="143"/>
      <c r="L53" s="123">
        <f t="shared" si="3"/>
        <v>8484.1519000000008</v>
      </c>
      <c r="M53" s="123">
        <f t="shared" si="4"/>
        <v>4915.1392500000002</v>
      </c>
      <c r="N53" s="123" t="str">
        <f t="shared" si="2"/>
        <v>Cr</v>
      </c>
      <c r="O53" s="123">
        <f t="shared" si="5"/>
        <v>107.88</v>
      </c>
      <c r="P53" s="143"/>
    </row>
    <row r="54" spans="1:16">
      <c r="A54" s="142" t="s">
        <v>151</v>
      </c>
      <c r="B54" s="143">
        <v>6.5</v>
      </c>
      <c r="C54" s="143">
        <v>8</v>
      </c>
      <c r="D54" s="143">
        <v>3.1</v>
      </c>
      <c r="E54" s="123">
        <f t="shared" si="0"/>
        <v>74.25</v>
      </c>
      <c r="F54" s="140">
        <f t="shared" si="6"/>
        <v>230.17500000000001</v>
      </c>
      <c r="G54" s="143" t="s">
        <v>207</v>
      </c>
      <c r="J54" s="142" t="s">
        <v>151</v>
      </c>
      <c r="K54" s="143"/>
      <c r="L54" s="123">
        <f>(L53+F54)</f>
        <v>8714.3269</v>
      </c>
      <c r="M54" s="123">
        <f t="shared" si="4"/>
        <v>5145.3142500000004</v>
      </c>
      <c r="N54" s="123" t="str">
        <f t="shared" si="2"/>
        <v>Cr</v>
      </c>
      <c r="O54" s="123">
        <f t="shared" si="5"/>
        <v>110.97999999999999</v>
      </c>
      <c r="P54" s="143"/>
    </row>
    <row r="55" spans="1:16">
      <c r="A55" s="142" t="s">
        <v>152</v>
      </c>
      <c r="B55" s="143">
        <v>6.3</v>
      </c>
      <c r="C55" s="143">
        <v>9.5</v>
      </c>
      <c r="D55" s="143">
        <v>2.4</v>
      </c>
      <c r="E55" s="123">
        <f t="shared" si="0"/>
        <v>78.949999999999989</v>
      </c>
      <c r="F55" s="140">
        <f t="shared" si="6"/>
        <v>189.47999999999996</v>
      </c>
      <c r="G55" s="143" t="s">
        <v>120</v>
      </c>
      <c r="J55" s="142" t="s">
        <v>152</v>
      </c>
      <c r="K55" s="143"/>
      <c r="L55" s="123">
        <f>(L54+F55)</f>
        <v>8903.8068999999996</v>
      </c>
      <c r="M55" s="123">
        <f t="shared" si="4"/>
        <v>5334.7942499999999</v>
      </c>
      <c r="N55" s="123" t="str">
        <f t="shared" si="2"/>
        <v>Cr</v>
      </c>
      <c r="O55" s="123">
        <f t="shared" si="5"/>
        <v>113.38</v>
      </c>
      <c r="P55" s="143"/>
    </row>
    <row r="56" spans="1:16">
      <c r="A56" s="142" t="s">
        <v>153</v>
      </c>
      <c r="B56" s="143">
        <v>7.4</v>
      </c>
      <c r="C56" s="143">
        <v>8.6999999999999993</v>
      </c>
      <c r="D56" s="143">
        <v>2.7</v>
      </c>
      <c r="E56" s="123">
        <f t="shared" si="0"/>
        <v>82.9</v>
      </c>
      <c r="F56" s="140">
        <f t="shared" si="6"/>
        <v>223.83000000000004</v>
      </c>
      <c r="G56" s="143" t="s">
        <v>120</v>
      </c>
      <c r="J56" s="142" t="s">
        <v>153</v>
      </c>
      <c r="K56" s="143"/>
      <c r="L56" s="123">
        <f t="shared" ref="L56:L85" si="7">(L55+F56)</f>
        <v>9127.6368999999995</v>
      </c>
      <c r="M56" s="123">
        <f t="shared" si="4"/>
        <v>5558.6242499999998</v>
      </c>
      <c r="N56" s="123" t="str">
        <f t="shared" si="2"/>
        <v>Cr</v>
      </c>
      <c r="O56" s="123">
        <f t="shared" si="5"/>
        <v>116.08</v>
      </c>
      <c r="P56" s="143"/>
    </row>
    <row r="57" spans="1:16">
      <c r="A57" s="142" t="s">
        <v>153</v>
      </c>
      <c r="B57" s="143">
        <v>7.8</v>
      </c>
      <c r="C57" s="143">
        <v>8.8000000000000007</v>
      </c>
      <c r="D57" s="143">
        <v>3</v>
      </c>
      <c r="E57" s="123">
        <f t="shared" si="0"/>
        <v>85.9</v>
      </c>
      <c r="F57" s="140">
        <f t="shared" si="6"/>
        <v>257.70000000000005</v>
      </c>
      <c r="G57" s="143" t="s">
        <v>207</v>
      </c>
      <c r="J57" s="142" t="s">
        <v>153</v>
      </c>
      <c r="K57" s="143"/>
      <c r="L57" s="123">
        <f t="shared" si="7"/>
        <v>9385.3369000000002</v>
      </c>
      <c r="M57" s="123">
        <f t="shared" si="4"/>
        <v>5816.3242499999997</v>
      </c>
      <c r="N57" s="123" t="str">
        <f t="shared" si="2"/>
        <v>Cr</v>
      </c>
      <c r="O57" s="123">
        <f t="shared" si="5"/>
        <v>119.08</v>
      </c>
      <c r="P57" s="143"/>
    </row>
    <row r="58" spans="1:16">
      <c r="A58" s="142" t="s">
        <v>154</v>
      </c>
      <c r="B58" s="143">
        <v>7.3</v>
      </c>
      <c r="C58" s="143">
        <v>9.1</v>
      </c>
      <c r="D58" s="143">
        <v>3.5</v>
      </c>
      <c r="E58" s="123">
        <f t="shared" si="0"/>
        <v>83.85</v>
      </c>
      <c r="F58" s="140">
        <f t="shared" si="6"/>
        <v>293.47499999999997</v>
      </c>
      <c r="G58" s="143" t="s">
        <v>120</v>
      </c>
      <c r="J58" s="142" t="s">
        <v>154</v>
      </c>
      <c r="K58" s="143"/>
      <c r="L58" s="123">
        <f t="shared" si="7"/>
        <v>9678.8119000000006</v>
      </c>
      <c r="M58" s="123">
        <f t="shared" si="4"/>
        <v>6109.79925</v>
      </c>
      <c r="N58" s="123" t="str">
        <f t="shared" si="2"/>
        <v>Cr</v>
      </c>
      <c r="O58" s="123">
        <f t="shared" si="5"/>
        <v>122.58</v>
      </c>
      <c r="P58" s="143"/>
    </row>
    <row r="59" spans="1:16">
      <c r="A59" s="142" t="s">
        <v>154</v>
      </c>
      <c r="B59" s="143">
        <v>9.4</v>
      </c>
      <c r="C59" s="143">
        <v>8.9</v>
      </c>
      <c r="D59" s="143">
        <v>2.7</v>
      </c>
      <c r="E59" s="123">
        <f t="shared" si="0"/>
        <v>96.7</v>
      </c>
      <c r="F59" s="140">
        <f t="shared" si="6"/>
        <v>261.09000000000003</v>
      </c>
      <c r="G59" s="143"/>
      <c r="J59" s="142" t="s">
        <v>154</v>
      </c>
      <c r="K59" s="143"/>
      <c r="L59" s="123">
        <f t="shared" si="7"/>
        <v>9939.9019000000008</v>
      </c>
      <c r="M59" s="123">
        <f t="shared" si="4"/>
        <v>6370.8892500000002</v>
      </c>
      <c r="N59" s="123" t="str">
        <f t="shared" si="2"/>
        <v>Cr</v>
      </c>
      <c r="O59" s="123">
        <f t="shared" si="5"/>
        <v>125.28</v>
      </c>
      <c r="P59" s="143"/>
    </row>
    <row r="60" spans="1:16">
      <c r="A60" s="142" t="s">
        <v>156</v>
      </c>
      <c r="B60" s="143">
        <v>7.1</v>
      </c>
      <c r="C60" s="143">
        <v>9.8000000000000007</v>
      </c>
      <c r="D60" s="143">
        <v>2.2000000000000002</v>
      </c>
      <c r="E60" s="123">
        <f t="shared" si="0"/>
        <v>85.35</v>
      </c>
      <c r="F60" s="140">
        <f t="shared" si="6"/>
        <v>187.77</v>
      </c>
      <c r="G60" s="143" t="s">
        <v>120</v>
      </c>
      <c r="J60" s="142" t="s">
        <v>156</v>
      </c>
      <c r="K60" s="143"/>
      <c r="L60" s="123">
        <f t="shared" si="7"/>
        <v>10127.671900000001</v>
      </c>
      <c r="M60" s="123">
        <f t="shared" si="4"/>
        <v>6558.6592500000006</v>
      </c>
      <c r="N60" s="123" t="str">
        <f t="shared" si="2"/>
        <v>Cr</v>
      </c>
      <c r="O60" s="123">
        <f t="shared" si="5"/>
        <v>127.48</v>
      </c>
      <c r="P60" s="143"/>
    </row>
    <row r="61" spans="1:16">
      <c r="A61" s="142" t="s">
        <v>156</v>
      </c>
      <c r="B61" s="143">
        <v>9.6</v>
      </c>
      <c r="C61" s="143">
        <v>9.1</v>
      </c>
      <c r="D61" s="143">
        <v>2.7</v>
      </c>
      <c r="E61" s="123">
        <f t="shared" si="0"/>
        <v>98.8</v>
      </c>
      <c r="F61" s="140">
        <f t="shared" si="6"/>
        <v>266.76</v>
      </c>
      <c r="G61" s="143" t="s">
        <v>207</v>
      </c>
      <c r="J61" s="142" t="s">
        <v>156</v>
      </c>
      <c r="K61" s="143"/>
      <c r="L61" s="123">
        <f t="shared" si="7"/>
        <v>10394.431900000001</v>
      </c>
      <c r="M61" s="123">
        <f t="shared" ref="M61:M63" si="8">(M60+F61-K61)</f>
        <v>6825.4192500000008</v>
      </c>
      <c r="N61" s="123" t="str">
        <f t="shared" si="2"/>
        <v>Cr</v>
      </c>
      <c r="O61" s="123">
        <f t="shared" si="5"/>
        <v>130.18</v>
      </c>
      <c r="P61" s="143"/>
    </row>
    <row r="62" spans="1:16">
      <c r="A62" s="142" t="s">
        <v>157</v>
      </c>
      <c r="B62" s="143">
        <v>6.9</v>
      </c>
      <c r="C62" s="143">
        <v>9.3000000000000007</v>
      </c>
      <c r="D62" s="143">
        <v>2.6</v>
      </c>
      <c r="E62" s="123">
        <f t="shared" si="0"/>
        <v>82.050000000000011</v>
      </c>
      <c r="F62" s="140">
        <f t="shared" si="6"/>
        <v>213.33000000000004</v>
      </c>
      <c r="G62" s="143" t="s">
        <v>120</v>
      </c>
      <c r="J62" s="142" t="s">
        <v>157</v>
      </c>
      <c r="K62" s="143"/>
      <c r="L62" s="123">
        <f t="shared" si="7"/>
        <v>10607.761900000001</v>
      </c>
      <c r="M62" s="123">
        <f t="shared" si="8"/>
        <v>7038.7492500000008</v>
      </c>
      <c r="N62" s="123" t="str">
        <f t="shared" si="2"/>
        <v>Cr</v>
      </c>
      <c r="O62" s="123">
        <f t="shared" si="5"/>
        <v>132.78</v>
      </c>
      <c r="P62" s="143"/>
    </row>
    <row r="63" spans="1:16">
      <c r="A63" s="142" t="s">
        <v>157</v>
      </c>
      <c r="B63" s="143">
        <v>8.9</v>
      </c>
      <c r="C63" s="143">
        <v>9.1</v>
      </c>
      <c r="D63" s="143">
        <v>2</v>
      </c>
      <c r="E63" s="123">
        <f t="shared" si="0"/>
        <v>94.25</v>
      </c>
      <c r="F63" s="140">
        <f t="shared" si="6"/>
        <v>188.5</v>
      </c>
      <c r="G63" s="143" t="s">
        <v>207</v>
      </c>
      <c r="J63" s="142" t="s">
        <v>157</v>
      </c>
      <c r="K63" s="143"/>
      <c r="L63" s="123">
        <f t="shared" si="7"/>
        <v>10796.261900000001</v>
      </c>
      <c r="M63" s="123">
        <f t="shared" si="8"/>
        <v>7227.2492500000008</v>
      </c>
      <c r="N63" s="123" t="str">
        <f t="shared" si="2"/>
        <v>Cr</v>
      </c>
      <c r="O63" s="123">
        <f t="shared" si="5"/>
        <v>134.78</v>
      </c>
      <c r="P63" s="143"/>
    </row>
    <row r="64" spans="1:16">
      <c r="A64" s="142" t="s">
        <v>158</v>
      </c>
      <c r="B64" s="143">
        <v>6.7</v>
      </c>
      <c r="C64" s="143">
        <v>8.6999999999999993</v>
      </c>
      <c r="D64" s="143">
        <v>3.1</v>
      </c>
      <c r="E64" s="123">
        <f t="shared" si="0"/>
        <v>78.349999999999994</v>
      </c>
      <c r="F64" s="140">
        <f t="shared" si="6"/>
        <v>242.88499999999999</v>
      </c>
      <c r="G64" s="143" t="s">
        <v>120</v>
      </c>
      <c r="J64" s="142" t="s">
        <v>158</v>
      </c>
      <c r="K64" s="143"/>
      <c r="L64" s="123">
        <f t="shared" si="7"/>
        <v>11039.146900000002</v>
      </c>
      <c r="M64" s="123">
        <f t="shared" ref="M64:M85" si="9">(M63+F64-K64)</f>
        <v>7470.134250000001</v>
      </c>
      <c r="N64" s="123" t="str">
        <f t="shared" si="2"/>
        <v>Cr</v>
      </c>
      <c r="O64" s="123">
        <f t="shared" si="5"/>
        <v>137.88</v>
      </c>
      <c r="P64" s="143"/>
    </row>
    <row r="65" spans="1:16">
      <c r="A65" s="142" t="s">
        <v>158</v>
      </c>
      <c r="B65" s="143">
        <v>9.4</v>
      </c>
      <c r="C65" s="143">
        <v>8.6999999999999993</v>
      </c>
      <c r="D65" s="143">
        <v>2.7</v>
      </c>
      <c r="E65" s="123">
        <f t="shared" si="0"/>
        <v>95.9</v>
      </c>
      <c r="F65" s="140">
        <f t="shared" si="6"/>
        <v>258.93</v>
      </c>
      <c r="G65" s="143" t="s">
        <v>207</v>
      </c>
      <c r="J65" s="142" t="s">
        <v>158</v>
      </c>
      <c r="K65" s="143"/>
      <c r="L65" s="123">
        <f t="shared" si="7"/>
        <v>11298.076900000002</v>
      </c>
      <c r="M65" s="123">
        <f t="shared" si="9"/>
        <v>7729.0642500000013</v>
      </c>
      <c r="N65" s="123" t="str">
        <f t="shared" si="2"/>
        <v>Cr</v>
      </c>
      <c r="O65" s="123">
        <f t="shared" si="5"/>
        <v>140.57999999999998</v>
      </c>
      <c r="P65" s="143"/>
    </row>
    <row r="66" spans="1:16">
      <c r="A66" s="142" t="s">
        <v>159</v>
      </c>
      <c r="B66" s="143">
        <v>6.02</v>
      </c>
      <c r="C66" s="143">
        <v>7.4</v>
      </c>
      <c r="D66" s="143">
        <v>2.1</v>
      </c>
      <c r="E66" s="123">
        <f t="shared" si="0"/>
        <v>68.72999999999999</v>
      </c>
      <c r="F66" s="140">
        <f t="shared" si="6"/>
        <v>144.333</v>
      </c>
      <c r="G66" s="143" t="s">
        <v>120</v>
      </c>
      <c r="J66" s="142" t="s">
        <v>159</v>
      </c>
      <c r="K66" s="143"/>
      <c r="L66" s="123">
        <f t="shared" si="7"/>
        <v>11442.409900000002</v>
      </c>
      <c r="M66" s="123">
        <f t="shared" si="9"/>
        <v>7873.3972500000009</v>
      </c>
      <c r="N66" s="123" t="str">
        <f t="shared" si="2"/>
        <v>Cr</v>
      </c>
      <c r="O66" s="123">
        <f t="shared" si="5"/>
        <v>142.67999999999998</v>
      </c>
      <c r="P66" s="143"/>
    </row>
    <row r="67" spans="1:16">
      <c r="A67" s="142" t="s">
        <v>159</v>
      </c>
      <c r="B67" s="143">
        <v>9.6</v>
      </c>
      <c r="C67" s="143">
        <v>6.2</v>
      </c>
      <c r="D67" s="143">
        <v>1.4</v>
      </c>
      <c r="E67" s="123">
        <f t="shared" si="0"/>
        <v>87.2</v>
      </c>
      <c r="F67" s="140">
        <f t="shared" si="6"/>
        <v>122.08</v>
      </c>
      <c r="G67" s="143" t="s">
        <v>207</v>
      </c>
      <c r="J67" s="142" t="s">
        <v>159</v>
      </c>
      <c r="K67" s="143"/>
      <c r="L67" s="123">
        <f t="shared" si="7"/>
        <v>11564.489900000002</v>
      </c>
      <c r="M67" s="123">
        <f t="shared" si="9"/>
        <v>7995.4772500000008</v>
      </c>
      <c r="N67" s="123" t="str">
        <f t="shared" si="2"/>
        <v>Cr</v>
      </c>
      <c r="O67" s="123">
        <f t="shared" si="5"/>
        <v>144.07999999999998</v>
      </c>
      <c r="P67" s="143"/>
    </row>
    <row r="68" spans="1:16">
      <c r="A68" s="142" t="s">
        <v>160</v>
      </c>
      <c r="B68" s="143">
        <v>8.07</v>
      </c>
      <c r="C68" s="143">
        <v>8.01</v>
      </c>
      <c r="D68" s="143">
        <v>2.4</v>
      </c>
      <c r="E68" s="123">
        <f t="shared" si="0"/>
        <v>84.495000000000005</v>
      </c>
      <c r="F68" s="140">
        <f t="shared" si="6"/>
        <v>202.78800000000001</v>
      </c>
      <c r="G68" s="143" t="s">
        <v>120</v>
      </c>
      <c r="J68" s="142" t="s">
        <v>160</v>
      </c>
      <c r="K68" s="143"/>
      <c r="L68" s="123">
        <f t="shared" si="7"/>
        <v>11767.277900000003</v>
      </c>
      <c r="M68" s="123">
        <f t="shared" si="9"/>
        <v>8198.2652500000004</v>
      </c>
      <c r="N68" s="123" t="str">
        <f t="shared" si="2"/>
        <v>Cr</v>
      </c>
      <c r="O68" s="123">
        <f t="shared" si="5"/>
        <v>146.47999999999999</v>
      </c>
      <c r="P68" s="143"/>
    </row>
    <row r="69" spans="1:16">
      <c r="A69" s="142" t="s">
        <v>160</v>
      </c>
      <c r="B69" s="143">
        <v>9.6999999999999993</v>
      </c>
      <c r="C69" s="143">
        <v>9</v>
      </c>
      <c r="D69" s="143">
        <v>2.2000000000000002</v>
      </c>
      <c r="E69" s="123">
        <f t="shared" si="0"/>
        <v>99.05</v>
      </c>
      <c r="F69" s="140">
        <f t="shared" si="6"/>
        <v>217.91000000000003</v>
      </c>
      <c r="G69" s="143" t="s">
        <v>207</v>
      </c>
      <c r="J69" s="142" t="s">
        <v>160</v>
      </c>
      <c r="K69" s="143"/>
      <c r="L69" s="123">
        <f t="shared" si="7"/>
        <v>11985.187900000003</v>
      </c>
      <c r="M69" s="123">
        <f t="shared" si="9"/>
        <v>8416.1752500000002</v>
      </c>
      <c r="N69" s="123" t="str">
        <f t="shared" si="2"/>
        <v>Cr</v>
      </c>
      <c r="O69" s="123">
        <f t="shared" si="5"/>
        <v>148.67999999999998</v>
      </c>
      <c r="P69" s="143"/>
    </row>
    <row r="70" spans="1:16">
      <c r="A70" s="142" t="s">
        <v>161</v>
      </c>
      <c r="B70" s="143">
        <v>6.2</v>
      </c>
      <c r="C70" s="143">
        <v>9</v>
      </c>
      <c r="D70" s="143">
        <v>2.8</v>
      </c>
      <c r="E70" s="123">
        <f t="shared" si="0"/>
        <v>76.300000000000011</v>
      </c>
      <c r="F70" s="128">
        <f t="shared" si="6"/>
        <v>213.64000000000001</v>
      </c>
      <c r="G70" s="143" t="s">
        <v>120</v>
      </c>
      <c r="J70" s="142" t="s">
        <v>161</v>
      </c>
      <c r="K70" s="143"/>
      <c r="L70" s="123">
        <f t="shared" si="7"/>
        <v>12198.827900000002</v>
      </c>
      <c r="M70" s="123">
        <f t="shared" si="9"/>
        <v>8629.8152499999997</v>
      </c>
      <c r="N70" s="123" t="str">
        <f t="shared" si="2"/>
        <v>Cr</v>
      </c>
      <c r="O70" s="123">
        <f t="shared" si="5"/>
        <v>151.47999999999999</v>
      </c>
      <c r="P70" s="143"/>
    </row>
    <row r="71" spans="1:16">
      <c r="A71" s="142" t="s">
        <v>161</v>
      </c>
      <c r="B71" s="143">
        <v>8.4</v>
      </c>
      <c r="C71" s="143">
        <v>8.8000000000000007</v>
      </c>
      <c r="D71" s="143">
        <v>2.5</v>
      </c>
      <c r="E71" s="123">
        <f t="shared" si="0"/>
        <v>89.800000000000011</v>
      </c>
      <c r="F71" s="128">
        <f t="shared" si="6"/>
        <v>224.50000000000003</v>
      </c>
      <c r="G71" s="143" t="s">
        <v>207</v>
      </c>
      <c r="J71" s="142" t="s">
        <v>161</v>
      </c>
      <c r="K71" s="143"/>
      <c r="L71" s="123">
        <f t="shared" si="7"/>
        <v>12423.327900000002</v>
      </c>
      <c r="M71" s="123">
        <f t="shared" si="9"/>
        <v>8854.3152499999997</v>
      </c>
      <c r="N71" s="123" t="str">
        <f t="shared" si="2"/>
        <v>Cr</v>
      </c>
      <c r="O71" s="123">
        <f t="shared" si="5"/>
        <v>153.97999999999999</v>
      </c>
      <c r="P71" s="143"/>
    </row>
    <row r="72" spans="1:16">
      <c r="A72" s="142" t="s">
        <v>162</v>
      </c>
      <c r="B72" s="143">
        <v>6.1</v>
      </c>
      <c r="C72" s="143">
        <v>8.8000000000000007</v>
      </c>
      <c r="D72" s="143">
        <v>2.2000000000000002</v>
      </c>
      <c r="E72" s="123">
        <f t="shared" si="0"/>
        <v>74.849999999999994</v>
      </c>
      <c r="F72" s="128">
        <f t="shared" si="6"/>
        <v>164.67</v>
      </c>
      <c r="G72" s="143" t="s">
        <v>120</v>
      </c>
      <c r="J72" s="142" t="s">
        <v>162</v>
      </c>
      <c r="K72" s="143"/>
      <c r="L72" s="123">
        <f t="shared" si="7"/>
        <v>12587.997900000002</v>
      </c>
      <c r="M72" s="123">
        <f t="shared" si="9"/>
        <v>9018.9852499999997</v>
      </c>
      <c r="N72" s="123" t="str">
        <f t="shared" si="2"/>
        <v>Cr</v>
      </c>
      <c r="O72" s="123">
        <f t="shared" si="5"/>
        <v>156.17999999999998</v>
      </c>
      <c r="P72" s="143"/>
    </row>
    <row r="73" spans="1:16">
      <c r="A73" s="142" t="s">
        <v>162</v>
      </c>
      <c r="B73" s="143">
        <v>8.4</v>
      </c>
      <c r="C73" s="143">
        <v>8.9</v>
      </c>
      <c r="D73" s="143">
        <v>2.8</v>
      </c>
      <c r="E73" s="123">
        <f t="shared" si="0"/>
        <v>90.2</v>
      </c>
      <c r="F73" s="128">
        <f t="shared" si="6"/>
        <v>252.56</v>
      </c>
      <c r="G73" s="143" t="s">
        <v>207</v>
      </c>
      <c r="J73" s="142" t="s">
        <v>162</v>
      </c>
      <c r="K73" s="143"/>
      <c r="L73" s="123">
        <f t="shared" si="7"/>
        <v>12840.557900000002</v>
      </c>
      <c r="M73" s="123">
        <f t="shared" si="9"/>
        <v>9271.5452499999992</v>
      </c>
      <c r="N73" s="123" t="str">
        <f t="shared" si="2"/>
        <v>Cr</v>
      </c>
      <c r="O73" s="123">
        <f t="shared" si="5"/>
        <v>158.97999999999999</v>
      </c>
      <c r="P73" s="143"/>
    </row>
    <row r="74" spans="1:16">
      <c r="A74" s="142" t="s">
        <v>163</v>
      </c>
      <c r="B74" s="143">
        <v>6.03</v>
      </c>
      <c r="C74" s="143">
        <v>9</v>
      </c>
      <c r="D74" s="143">
        <v>2.2999999999999998</v>
      </c>
      <c r="E74" s="123">
        <f t="shared" si="0"/>
        <v>75.194999999999993</v>
      </c>
      <c r="F74" s="128">
        <f t="shared" si="6"/>
        <v>172.94849999999997</v>
      </c>
      <c r="G74" s="143" t="s">
        <v>120</v>
      </c>
      <c r="J74" s="142" t="s">
        <v>163</v>
      </c>
      <c r="K74" s="143"/>
      <c r="L74" s="123">
        <f t="shared" si="7"/>
        <v>13013.506400000002</v>
      </c>
      <c r="M74" s="123">
        <f t="shared" si="9"/>
        <v>9444.4937499999996</v>
      </c>
      <c r="N74" s="123" t="str">
        <f t="shared" si="2"/>
        <v>Cr</v>
      </c>
      <c r="O74" s="123">
        <f t="shared" si="5"/>
        <v>161.28</v>
      </c>
      <c r="P74" s="143"/>
    </row>
    <row r="75" spans="1:16">
      <c r="A75" s="142" t="s">
        <v>163</v>
      </c>
      <c r="B75" s="143">
        <v>7</v>
      </c>
      <c r="C75" s="143">
        <v>8.9</v>
      </c>
      <c r="D75" s="143">
        <v>2.6</v>
      </c>
      <c r="E75" s="123">
        <f t="shared" si="0"/>
        <v>81.099999999999994</v>
      </c>
      <c r="F75" s="128">
        <f t="shared" si="6"/>
        <v>210.85999999999999</v>
      </c>
      <c r="G75" s="143" t="s">
        <v>207</v>
      </c>
      <c r="J75" s="142" t="s">
        <v>163</v>
      </c>
      <c r="K75" s="143"/>
      <c r="L75" s="123">
        <f t="shared" si="7"/>
        <v>13224.366400000003</v>
      </c>
      <c r="M75" s="123">
        <f t="shared" si="9"/>
        <v>9655.3537500000002</v>
      </c>
      <c r="N75" s="123" t="str">
        <f t="shared" si="2"/>
        <v>Cr</v>
      </c>
      <c r="O75" s="123">
        <f t="shared" si="5"/>
        <v>163.88</v>
      </c>
      <c r="P75" s="143"/>
    </row>
    <row r="76" spans="1:16">
      <c r="A76" s="142" t="s">
        <v>164</v>
      </c>
      <c r="B76" s="143">
        <v>7.3</v>
      </c>
      <c r="C76" s="143">
        <v>7.3</v>
      </c>
      <c r="D76" s="143">
        <v>2.2999999999999998</v>
      </c>
      <c r="E76" s="123">
        <f t="shared" si="0"/>
        <v>76.649999999999991</v>
      </c>
      <c r="F76" s="128">
        <f t="shared" si="6"/>
        <v>176.29499999999996</v>
      </c>
      <c r="G76" s="143" t="s">
        <v>120</v>
      </c>
      <c r="J76" s="142" t="s">
        <v>164</v>
      </c>
      <c r="K76" s="143"/>
      <c r="L76" s="123">
        <f t="shared" si="7"/>
        <v>13400.661400000003</v>
      </c>
      <c r="M76" s="123">
        <f t="shared" si="9"/>
        <v>9831.6487500000003</v>
      </c>
      <c r="N76" s="123" t="str">
        <f t="shared" si="2"/>
        <v>Cr</v>
      </c>
      <c r="O76" s="123">
        <f t="shared" si="5"/>
        <v>166.18</v>
      </c>
      <c r="P76" s="143"/>
    </row>
    <row r="77" spans="1:16">
      <c r="A77" s="142" t="s">
        <v>164</v>
      </c>
      <c r="B77" s="143">
        <v>6.9</v>
      </c>
      <c r="C77" s="143">
        <v>8.8000000000000007</v>
      </c>
      <c r="D77" s="143">
        <v>2.4</v>
      </c>
      <c r="E77" s="123">
        <f t="shared" si="0"/>
        <v>80.050000000000011</v>
      </c>
      <c r="F77" s="128">
        <f t="shared" si="6"/>
        <v>192.12000000000003</v>
      </c>
      <c r="G77" s="143" t="s">
        <v>207</v>
      </c>
      <c r="J77" s="142" t="s">
        <v>164</v>
      </c>
      <c r="K77" s="143"/>
      <c r="L77" s="123">
        <f t="shared" si="7"/>
        <v>13592.781400000003</v>
      </c>
      <c r="M77" s="123">
        <f t="shared" si="9"/>
        <v>10023.768750000001</v>
      </c>
      <c r="N77" s="123" t="str">
        <f t="shared" si="2"/>
        <v>Cr</v>
      </c>
      <c r="O77" s="123">
        <f t="shared" si="5"/>
        <v>168.58</v>
      </c>
      <c r="P77" s="143"/>
    </row>
    <row r="78" spans="1:16">
      <c r="A78" s="142" t="s">
        <v>165</v>
      </c>
      <c r="B78" s="143">
        <v>7.6</v>
      </c>
      <c r="C78" s="143">
        <v>9</v>
      </c>
      <c r="D78" s="143">
        <v>2.2000000000000002</v>
      </c>
      <c r="E78" s="123">
        <f t="shared" si="0"/>
        <v>85.4</v>
      </c>
      <c r="F78" s="128">
        <f t="shared" si="6"/>
        <v>187.88000000000002</v>
      </c>
      <c r="G78" s="143" t="s">
        <v>120</v>
      </c>
      <c r="J78" s="142" t="s">
        <v>165</v>
      </c>
      <c r="K78" s="143">
        <v>1000</v>
      </c>
      <c r="L78" s="123">
        <f t="shared" si="7"/>
        <v>13780.661400000003</v>
      </c>
      <c r="M78" s="123">
        <f t="shared" si="9"/>
        <v>9211.6487500000003</v>
      </c>
      <c r="N78" s="123" t="str">
        <f t="shared" si="2"/>
        <v>Cr</v>
      </c>
      <c r="O78" s="123">
        <f t="shared" si="5"/>
        <v>170.78</v>
      </c>
      <c r="P78" s="143"/>
    </row>
    <row r="79" spans="1:16">
      <c r="A79" s="142" t="s">
        <v>165</v>
      </c>
      <c r="B79" s="143">
        <v>7.5</v>
      </c>
      <c r="C79" s="143">
        <v>8.9</v>
      </c>
      <c r="D79" s="143">
        <v>2.2000000000000002</v>
      </c>
      <c r="E79" s="123">
        <f t="shared" si="0"/>
        <v>84.35</v>
      </c>
      <c r="F79" s="128">
        <f t="shared" si="6"/>
        <v>185.57</v>
      </c>
      <c r="G79" s="143" t="s">
        <v>207</v>
      </c>
      <c r="J79" s="142" t="s">
        <v>165</v>
      </c>
      <c r="K79" s="143"/>
      <c r="L79" s="123">
        <f t="shared" si="7"/>
        <v>13966.231400000002</v>
      </c>
      <c r="M79" s="123">
        <f t="shared" si="9"/>
        <v>9397.21875</v>
      </c>
      <c r="N79" s="123" t="str">
        <f t="shared" si="2"/>
        <v>Cr</v>
      </c>
      <c r="O79" s="123">
        <f t="shared" si="5"/>
        <v>172.98</v>
      </c>
      <c r="P79" s="143"/>
    </row>
    <row r="80" spans="1:16">
      <c r="A80" s="142" t="s">
        <v>166</v>
      </c>
      <c r="B80" s="143">
        <v>5.5</v>
      </c>
      <c r="C80" s="143">
        <v>5.8</v>
      </c>
      <c r="D80" s="143">
        <v>2.2000000000000002</v>
      </c>
      <c r="E80" s="123">
        <f t="shared" si="0"/>
        <v>58.95</v>
      </c>
      <c r="F80" s="128">
        <f t="shared" si="6"/>
        <v>129.69000000000003</v>
      </c>
      <c r="G80" s="143" t="s">
        <v>120</v>
      </c>
      <c r="J80" s="142" t="s">
        <v>166</v>
      </c>
      <c r="K80" s="143"/>
      <c r="L80" s="123">
        <f t="shared" si="7"/>
        <v>14095.921400000003</v>
      </c>
      <c r="M80" s="123">
        <f t="shared" si="9"/>
        <v>9526.9087500000005</v>
      </c>
      <c r="N80" s="123" t="str">
        <f t="shared" ref="N80:N85" si="10">IF(M80&lt;-1,"Dr","Cr")</f>
        <v>Cr</v>
      </c>
      <c r="O80" s="123">
        <f t="shared" ref="O80:O85" si="11">(O79+D80)</f>
        <v>175.17999999999998</v>
      </c>
      <c r="P80" s="143"/>
    </row>
    <row r="81" spans="1:16">
      <c r="A81" s="142" t="s">
        <v>166</v>
      </c>
      <c r="B81" s="143">
        <v>5.9</v>
      </c>
      <c r="C81" s="143">
        <v>9.1</v>
      </c>
      <c r="D81" s="143">
        <v>2.2999999999999998</v>
      </c>
      <c r="E81" s="123">
        <f t="shared" si="0"/>
        <v>74.75</v>
      </c>
      <c r="F81" s="128">
        <f t="shared" si="6"/>
        <v>171.92499999999998</v>
      </c>
      <c r="G81" s="143" t="s">
        <v>207</v>
      </c>
      <c r="J81" s="142" t="s">
        <v>166</v>
      </c>
      <c r="K81" s="143"/>
      <c r="L81" s="123">
        <f t="shared" si="7"/>
        <v>14267.846400000002</v>
      </c>
      <c r="M81" s="123">
        <f t="shared" si="9"/>
        <v>9698.8337499999998</v>
      </c>
      <c r="N81" s="123" t="str">
        <f t="shared" si="10"/>
        <v>Cr</v>
      </c>
      <c r="O81" s="123">
        <f t="shared" si="11"/>
        <v>177.48</v>
      </c>
      <c r="P81" s="143"/>
    </row>
    <row r="82" spans="1:16">
      <c r="A82" s="144" t="s">
        <v>167</v>
      </c>
      <c r="B82" s="145">
        <v>6.8</v>
      </c>
      <c r="C82" s="145">
        <v>9.1999999999999993</v>
      </c>
      <c r="D82" s="145">
        <v>1.7</v>
      </c>
      <c r="E82" s="146">
        <f t="shared" si="0"/>
        <v>81</v>
      </c>
      <c r="F82" s="147">
        <f t="shared" si="6"/>
        <v>137.69999999999999</v>
      </c>
      <c r="G82" s="145" t="s">
        <v>120</v>
      </c>
      <c r="J82" s="144" t="s">
        <v>167</v>
      </c>
      <c r="K82" s="143"/>
      <c r="L82" s="123">
        <f t="shared" si="7"/>
        <v>14405.546400000003</v>
      </c>
      <c r="M82" s="123">
        <f t="shared" si="9"/>
        <v>9836.5337500000005</v>
      </c>
      <c r="N82" s="123" t="str">
        <f t="shared" si="10"/>
        <v>Cr</v>
      </c>
      <c r="O82" s="123">
        <f t="shared" si="11"/>
        <v>179.17999999999998</v>
      </c>
      <c r="P82" s="143"/>
    </row>
    <row r="83" spans="1:16">
      <c r="A83" s="148" t="s">
        <v>167</v>
      </c>
      <c r="B83" s="149">
        <v>8.1</v>
      </c>
      <c r="C83" s="149">
        <v>8.5</v>
      </c>
      <c r="D83" s="149">
        <v>2.2000000000000002</v>
      </c>
      <c r="E83" s="150">
        <f t="shared" si="0"/>
        <v>86.65</v>
      </c>
      <c r="F83" s="151">
        <f t="shared" si="6"/>
        <v>190.63000000000002</v>
      </c>
      <c r="G83" s="149" t="s">
        <v>207</v>
      </c>
      <c r="J83" s="148" t="s">
        <v>167</v>
      </c>
      <c r="K83" s="145"/>
      <c r="L83" s="123">
        <f t="shared" si="7"/>
        <v>14596.176400000002</v>
      </c>
      <c r="M83" s="123">
        <f t="shared" si="9"/>
        <v>10027.16375</v>
      </c>
      <c r="N83" s="123" t="str">
        <f t="shared" si="10"/>
        <v>Cr</v>
      </c>
      <c r="O83" s="123">
        <f t="shared" si="11"/>
        <v>181.37999999999997</v>
      </c>
      <c r="P83" s="145"/>
    </row>
    <row r="84" spans="1:16">
      <c r="A84" s="148" t="s">
        <v>168</v>
      </c>
      <c r="B84" s="149">
        <v>6.7</v>
      </c>
      <c r="C84" s="149">
        <v>8.1999999999999993</v>
      </c>
      <c r="D84" s="149">
        <v>1.8</v>
      </c>
      <c r="E84" s="150">
        <f t="shared" si="0"/>
        <v>76.349999999999994</v>
      </c>
      <c r="F84" s="151">
        <f t="shared" si="6"/>
        <v>137.43</v>
      </c>
      <c r="G84" s="149" t="s">
        <v>120</v>
      </c>
      <c r="J84" s="148" t="s">
        <v>168</v>
      </c>
      <c r="K84" s="149"/>
      <c r="L84" s="123">
        <f t="shared" si="7"/>
        <v>14733.606400000002</v>
      </c>
      <c r="M84" s="123">
        <f t="shared" si="9"/>
        <v>10164.59375</v>
      </c>
      <c r="N84" s="123" t="str">
        <f t="shared" si="10"/>
        <v>Cr</v>
      </c>
      <c r="O84" s="123">
        <f t="shared" si="11"/>
        <v>183.17999999999998</v>
      </c>
      <c r="P84" s="149"/>
    </row>
    <row r="85" spans="1:16">
      <c r="A85" s="148" t="s">
        <v>168</v>
      </c>
      <c r="B85" s="149">
        <v>8.1</v>
      </c>
      <c r="C85" s="149">
        <v>8.4</v>
      </c>
      <c r="D85" s="149">
        <v>2.6</v>
      </c>
      <c r="E85" s="150">
        <f t="shared" si="0"/>
        <v>86.25</v>
      </c>
      <c r="F85" s="151">
        <f t="shared" si="6"/>
        <v>224.25</v>
      </c>
      <c r="G85" s="149" t="s">
        <v>207</v>
      </c>
      <c r="J85" s="148" t="s">
        <v>168</v>
      </c>
      <c r="K85" s="149"/>
      <c r="L85" s="123">
        <f t="shared" si="7"/>
        <v>14957.856400000002</v>
      </c>
      <c r="M85" s="123">
        <f t="shared" si="9"/>
        <v>10388.84375</v>
      </c>
      <c r="N85" s="123" t="str">
        <f t="shared" si="10"/>
        <v>Cr</v>
      </c>
      <c r="O85" s="123">
        <f t="shared" si="11"/>
        <v>185.77999999999997</v>
      </c>
      <c r="P85" s="149"/>
    </row>
  </sheetData>
  <mergeCells count="1">
    <mergeCell ref="B2:G2"/>
  </mergeCells>
  <hyperlinks>
    <hyperlink ref="F5" location="'Customer Index'!A8" display="Customer Code"/>
    <hyperlink ref="G5" location="'Customer Index'!A12" display="Bas03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2.8867187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208</v>
      </c>
      <c r="B3" s="51"/>
      <c r="C3" s="51"/>
      <c r="F3" s="52" t="s">
        <v>106</v>
      </c>
      <c r="G3" s="53">
        <v>9841059781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21" t="s">
        <v>35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53" si="0">(B8*6.5+C8*4)</f>
        <v>0</v>
      </c>
      <c r="F8" s="24">
        <f t="shared" ref="F8:F53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 t="shared" ref="N8:N50" si="2">IF(M8&lt;-1,"Dr","Cr")</f>
        <v>Cr</v>
      </c>
      <c r="O8" s="44"/>
      <c r="Q8" s="44">
        <f>SUM(F8:F68)</f>
        <v>1274.5399999999997</v>
      </c>
      <c r="R8" s="44">
        <f>SUM(K8:K48)</f>
        <v>0</v>
      </c>
      <c r="S8" s="44">
        <f>(Q8-R8)</f>
        <v>1274.5399999999997</v>
      </c>
      <c r="T8" s="44">
        <f>SUM(D8:D47)</f>
        <v>9.1999999999999993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3">(L8+F9)</f>
        <v>0</v>
      </c>
      <c r="M9" s="44">
        <f t="shared" ref="M9:M53" si="4">(M8+F9-K9)</f>
        <v>0</v>
      </c>
      <c r="N9" s="44" t="str">
        <f t="shared" si="2"/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3"/>
        <v>0</v>
      </c>
      <c r="M10" s="44">
        <f t="shared" si="4"/>
        <v>0</v>
      </c>
      <c r="N10" s="44" t="str">
        <f t="shared" si="2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3"/>
        <v>0</v>
      </c>
      <c r="M11" s="44">
        <f t="shared" si="4"/>
        <v>0</v>
      </c>
      <c r="N11" s="44" t="str">
        <f t="shared" si="2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3"/>
        <v>0</v>
      </c>
      <c r="M12" s="44">
        <f t="shared" si="4"/>
        <v>0</v>
      </c>
      <c r="N12" s="44" t="str">
        <f t="shared" si="2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3"/>
        <v>0</v>
      </c>
      <c r="M13" s="44">
        <f t="shared" si="4"/>
        <v>0</v>
      </c>
      <c r="N13" s="44" t="str">
        <f t="shared" si="2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3"/>
        <v>0</v>
      </c>
      <c r="M14" s="44">
        <f t="shared" si="4"/>
        <v>0</v>
      </c>
      <c r="N14" s="44" t="str">
        <f t="shared" si="2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3"/>
        <v>0</v>
      </c>
      <c r="M15" s="44">
        <f t="shared" si="4"/>
        <v>0</v>
      </c>
      <c r="N15" s="44" t="str">
        <f t="shared" si="2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3"/>
        <v>0</v>
      </c>
      <c r="M16" s="44">
        <f t="shared" si="4"/>
        <v>0</v>
      </c>
      <c r="N16" s="44" t="str">
        <f t="shared" si="2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3"/>
        <v>0</v>
      </c>
      <c r="M17" s="44">
        <f t="shared" si="4"/>
        <v>0</v>
      </c>
      <c r="N17" s="44" t="str">
        <f t="shared" si="2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>
        <v>7.6</v>
      </c>
      <c r="C18" s="93">
        <v>7.5</v>
      </c>
      <c r="D18" s="93">
        <v>1.8</v>
      </c>
      <c r="E18" s="24">
        <f t="shared" si="0"/>
        <v>79.400000000000006</v>
      </c>
      <c r="F18" s="93">
        <f t="shared" si="1"/>
        <v>142.92000000000002</v>
      </c>
      <c r="G18" s="93" t="s">
        <v>120</v>
      </c>
      <c r="H18" s="20"/>
      <c r="I18" s="20"/>
      <c r="J18" s="62" t="s">
        <v>131</v>
      </c>
      <c r="K18" s="44"/>
      <c r="L18" s="44">
        <f t="shared" si="3"/>
        <v>142.92000000000002</v>
      </c>
      <c r="M18" s="44">
        <f t="shared" si="4"/>
        <v>142.92000000000002</v>
      </c>
      <c r="N18" s="44" t="str">
        <f t="shared" si="2"/>
        <v>Cr</v>
      </c>
      <c r="O18" s="44"/>
    </row>
    <row r="19" spans="1:21">
      <c r="A19" s="96" t="s">
        <v>132</v>
      </c>
      <c r="B19" s="93">
        <v>8.6</v>
      </c>
      <c r="C19" s="93">
        <v>9.3000000000000007</v>
      </c>
      <c r="D19" s="93">
        <v>0.9</v>
      </c>
      <c r="E19" s="24">
        <f t="shared" si="0"/>
        <v>93.1</v>
      </c>
      <c r="F19" s="93">
        <f t="shared" si="1"/>
        <v>83.789999999999992</v>
      </c>
      <c r="G19" s="93" t="s">
        <v>120</v>
      </c>
      <c r="H19" s="20"/>
      <c r="I19" s="20"/>
      <c r="J19" s="62" t="s">
        <v>132</v>
      </c>
      <c r="K19" s="44"/>
      <c r="L19" s="44">
        <f t="shared" si="3"/>
        <v>226.71</v>
      </c>
      <c r="M19" s="44">
        <f t="shared" si="4"/>
        <v>226.71</v>
      </c>
      <c r="N19" s="44" t="str">
        <f t="shared" si="2"/>
        <v>Cr</v>
      </c>
      <c r="O19" s="44"/>
    </row>
    <row r="20" spans="1:21">
      <c r="A20" s="96" t="s">
        <v>133</v>
      </c>
      <c r="B20" s="93">
        <v>8.1999999999999993</v>
      </c>
      <c r="C20" s="93">
        <v>9.1999999999999993</v>
      </c>
      <c r="D20" s="93">
        <v>1.2</v>
      </c>
      <c r="E20" s="24">
        <f t="shared" si="0"/>
        <v>90.1</v>
      </c>
      <c r="F20" s="93">
        <f t="shared" si="1"/>
        <v>108.11999999999999</v>
      </c>
      <c r="G20" s="93" t="s">
        <v>120</v>
      </c>
      <c r="H20" s="20"/>
      <c r="I20" s="20"/>
      <c r="J20" s="62" t="s">
        <v>133</v>
      </c>
      <c r="K20" s="44"/>
      <c r="L20" s="44">
        <f t="shared" si="3"/>
        <v>334.83</v>
      </c>
      <c r="M20" s="44">
        <f t="shared" si="4"/>
        <v>334.83</v>
      </c>
      <c r="N20" s="44" t="str">
        <f t="shared" si="2"/>
        <v>Cr</v>
      </c>
      <c r="O20" s="44"/>
    </row>
    <row r="21" spans="1:21">
      <c r="A21" s="96" t="s">
        <v>134</v>
      </c>
      <c r="B21" s="93">
        <v>7.72</v>
      </c>
      <c r="C21" s="93">
        <v>9.23</v>
      </c>
      <c r="D21" s="93">
        <v>1.6</v>
      </c>
      <c r="E21" s="24">
        <f t="shared" si="0"/>
        <v>87.1</v>
      </c>
      <c r="F21" s="93">
        <f t="shared" si="1"/>
        <v>139.35999999999999</v>
      </c>
      <c r="G21" s="93" t="s">
        <v>120</v>
      </c>
      <c r="H21" s="20"/>
      <c r="I21" s="20"/>
      <c r="J21" s="62" t="s">
        <v>134</v>
      </c>
      <c r="K21" s="44"/>
      <c r="L21" s="44">
        <f t="shared" si="3"/>
        <v>474.18999999999994</v>
      </c>
      <c r="M21" s="44">
        <f t="shared" si="4"/>
        <v>474.18999999999994</v>
      </c>
      <c r="N21" s="44" t="str">
        <f t="shared" si="2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0"/>
        <v>0</v>
      </c>
      <c r="F22" s="93">
        <f t="shared" si="1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3"/>
        <v>474.18999999999994</v>
      </c>
      <c r="M22" s="44">
        <f t="shared" si="4"/>
        <v>474.18999999999994</v>
      </c>
      <c r="N22" s="44" t="str">
        <f t="shared" si="2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0"/>
        <v>0</v>
      </c>
      <c r="F23" s="93">
        <f t="shared" si="1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3"/>
        <v>474.18999999999994</v>
      </c>
      <c r="M23" s="44">
        <f t="shared" si="4"/>
        <v>474.18999999999994</v>
      </c>
      <c r="N23" s="44" t="str">
        <f t="shared" si="2"/>
        <v>Cr</v>
      </c>
      <c r="O23" s="44"/>
    </row>
    <row r="24" spans="1:21">
      <c r="A24" s="152" t="s">
        <v>138</v>
      </c>
      <c r="B24" s="93"/>
      <c r="C24" s="93"/>
      <c r="D24" s="93"/>
      <c r="E24" s="24">
        <f t="shared" si="0"/>
        <v>0</v>
      </c>
      <c r="F24" s="93">
        <f t="shared" si="1"/>
        <v>0</v>
      </c>
      <c r="G24" s="93" t="s">
        <v>120</v>
      </c>
      <c r="H24" s="20"/>
      <c r="I24" s="20"/>
      <c r="J24" s="97" t="s">
        <v>138</v>
      </c>
      <c r="K24" s="78"/>
      <c r="L24" s="78">
        <f t="shared" si="3"/>
        <v>474.18999999999994</v>
      </c>
      <c r="M24" s="78">
        <f t="shared" si="4"/>
        <v>474.18999999999994</v>
      </c>
      <c r="N24" s="78" t="str">
        <f t="shared" si="2"/>
        <v>Cr</v>
      </c>
      <c r="O24" s="78"/>
    </row>
    <row r="25" spans="1:21">
      <c r="A25" s="96" t="s">
        <v>139</v>
      </c>
      <c r="B25" s="93"/>
      <c r="C25" s="93"/>
      <c r="D25" s="93"/>
      <c r="E25" s="24">
        <f t="shared" si="0"/>
        <v>0</v>
      </c>
      <c r="F25" s="93">
        <f t="shared" si="1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3"/>
        <v>474.18999999999994</v>
      </c>
      <c r="M25" s="44">
        <f t="shared" si="4"/>
        <v>474.18999999999994</v>
      </c>
      <c r="N25" s="44" t="str">
        <f t="shared" si="2"/>
        <v>Cr</v>
      </c>
      <c r="O25" s="44"/>
    </row>
    <row r="26" spans="1:21">
      <c r="A26" s="96" t="s">
        <v>140</v>
      </c>
      <c r="B26" s="93"/>
      <c r="C26" s="93"/>
      <c r="D26" s="93"/>
      <c r="E26" s="24">
        <f t="shared" si="0"/>
        <v>0</v>
      </c>
      <c r="F26" s="93">
        <f t="shared" si="1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3"/>
        <v>474.18999999999994</v>
      </c>
      <c r="M26" s="44">
        <f t="shared" si="4"/>
        <v>474.18999999999994</v>
      </c>
      <c r="N26" s="44" t="str">
        <f t="shared" si="2"/>
        <v>Cr</v>
      </c>
      <c r="O26" s="44"/>
    </row>
    <row r="27" spans="1:21">
      <c r="A27" s="96" t="s">
        <v>141</v>
      </c>
      <c r="B27" s="93"/>
      <c r="C27" s="93"/>
      <c r="D27" s="93"/>
      <c r="E27" s="24">
        <f t="shared" si="0"/>
        <v>0</v>
      </c>
      <c r="F27" s="93">
        <f t="shared" si="1"/>
        <v>0</v>
      </c>
      <c r="G27" s="93" t="s">
        <v>155</v>
      </c>
      <c r="H27" s="20"/>
      <c r="I27" s="20"/>
      <c r="J27" s="62" t="s">
        <v>141</v>
      </c>
      <c r="K27" s="44"/>
      <c r="L27" s="44">
        <f t="shared" si="3"/>
        <v>474.18999999999994</v>
      </c>
      <c r="M27" s="44">
        <f t="shared" si="4"/>
        <v>474.18999999999994</v>
      </c>
      <c r="N27" s="44" t="str">
        <f t="shared" si="2"/>
        <v>Cr</v>
      </c>
      <c r="O27" s="44"/>
    </row>
    <row r="28" spans="1:21">
      <c r="A28" s="96" t="s">
        <v>142</v>
      </c>
      <c r="B28" s="93"/>
      <c r="C28" s="93"/>
      <c r="D28" s="93"/>
      <c r="E28" s="24">
        <f t="shared" si="0"/>
        <v>0</v>
      </c>
      <c r="F28" s="93">
        <f t="shared" si="1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3"/>
        <v>474.18999999999994</v>
      </c>
      <c r="M28" s="44">
        <f t="shared" si="4"/>
        <v>474.18999999999994</v>
      </c>
      <c r="N28" s="44" t="str">
        <f t="shared" si="2"/>
        <v>Cr</v>
      </c>
      <c r="O28" s="44"/>
    </row>
    <row r="29" spans="1:21">
      <c r="A29" s="96" t="s">
        <v>143</v>
      </c>
      <c r="B29" s="93"/>
      <c r="C29" s="93"/>
      <c r="D29" s="93"/>
      <c r="E29" s="24">
        <f t="shared" si="0"/>
        <v>0</v>
      </c>
      <c r="F29" s="93">
        <f t="shared" si="1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3"/>
        <v>474.18999999999994</v>
      </c>
      <c r="M29" s="44">
        <f t="shared" si="4"/>
        <v>474.18999999999994</v>
      </c>
      <c r="N29" s="44" t="str">
        <f t="shared" si="2"/>
        <v>Cr</v>
      </c>
      <c r="O29" s="44"/>
    </row>
    <row r="30" spans="1:21">
      <c r="A30" s="96" t="s">
        <v>144</v>
      </c>
      <c r="B30" s="93"/>
      <c r="C30" s="93"/>
      <c r="D30" s="93"/>
      <c r="E30" s="24">
        <f t="shared" si="0"/>
        <v>0</v>
      </c>
      <c r="F30" s="93">
        <f t="shared" si="1"/>
        <v>0</v>
      </c>
      <c r="G30" s="93" t="s">
        <v>155</v>
      </c>
      <c r="H30" s="20"/>
      <c r="I30" s="20"/>
      <c r="J30" s="62" t="s">
        <v>144</v>
      </c>
      <c r="K30" s="44"/>
      <c r="L30" s="44">
        <f t="shared" si="3"/>
        <v>474.18999999999994</v>
      </c>
      <c r="M30" s="44">
        <f t="shared" si="4"/>
        <v>474.18999999999994</v>
      </c>
      <c r="N30" s="44" t="str">
        <f t="shared" si="2"/>
        <v>Cr</v>
      </c>
      <c r="O30" s="44"/>
    </row>
    <row r="31" spans="1:21">
      <c r="A31" s="96" t="s">
        <v>145</v>
      </c>
      <c r="B31" s="93"/>
      <c r="C31" s="93"/>
      <c r="D31" s="93"/>
      <c r="E31" s="24">
        <f t="shared" si="0"/>
        <v>0</v>
      </c>
      <c r="F31" s="93">
        <f t="shared" si="1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3"/>
        <v>474.18999999999994</v>
      </c>
      <c r="M31" s="44">
        <f t="shared" si="4"/>
        <v>474.18999999999994</v>
      </c>
      <c r="N31" s="44" t="str">
        <f t="shared" si="2"/>
        <v>Cr</v>
      </c>
      <c r="O31" s="44"/>
    </row>
    <row r="32" spans="1:21">
      <c r="A32" s="96" t="s">
        <v>146</v>
      </c>
      <c r="B32" s="93"/>
      <c r="C32" s="93"/>
      <c r="D32" s="93"/>
      <c r="E32" s="24">
        <f t="shared" si="0"/>
        <v>0</v>
      </c>
      <c r="F32" s="93">
        <f t="shared" si="1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3"/>
        <v>474.18999999999994</v>
      </c>
      <c r="M32" s="44">
        <f t="shared" si="4"/>
        <v>474.18999999999994</v>
      </c>
      <c r="N32" s="44" t="str">
        <f t="shared" si="2"/>
        <v>Cr</v>
      </c>
      <c r="O32" s="44"/>
    </row>
    <row r="33" spans="1:15">
      <c r="A33" s="96" t="s">
        <v>147</v>
      </c>
      <c r="B33" s="93"/>
      <c r="C33" s="93"/>
      <c r="D33" s="93"/>
      <c r="E33" s="24">
        <f t="shared" si="0"/>
        <v>0</v>
      </c>
      <c r="F33" s="93">
        <f t="shared" si="1"/>
        <v>0</v>
      </c>
      <c r="G33" s="93" t="s">
        <v>120</v>
      </c>
      <c r="H33" s="20"/>
      <c r="I33" s="20"/>
      <c r="J33" s="62" t="s">
        <v>147</v>
      </c>
      <c r="K33" s="44"/>
      <c r="L33" s="44">
        <f t="shared" si="3"/>
        <v>474.18999999999994</v>
      </c>
      <c r="M33" s="44">
        <f t="shared" si="4"/>
        <v>474.18999999999994</v>
      </c>
      <c r="N33" s="44" t="str">
        <f t="shared" si="2"/>
        <v>Cr</v>
      </c>
      <c r="O33" s="44"/>
    </row>
    <row r="34" spans="1:15">
      <c r="A34" s="96" t="s">
        <v>148</v>
      </c>
      <c r="B34" s="93"/>
      <c r="C34" s="93"/>
      <c r="D34" s="93"/>
      <c r="E34" s="24">
        <f t="shared" si="0"/>
        <v>0</v>
      </c>
      <c r="F34" s="93">
        <f t="shared" si="1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3"/>
        <v>474.18999999999994</v>
      </c>
      <c r="M34" s="44">
        <f t="shared" si="4"/>
        <v>474.18999999999994</v>
      </c>
      <c r="N34" s="44" t="str">
        <f t="shared" si="2"/>
        <v>Cr</v>
      </c>
      <c r="O34" s="44"/>
    </row>
    <row r="35" spans="1:15">
      <c r="A35" s="96" t="s">
        <v>149</v>
      </c>
      <c r="B35" s="93"/>
      <c r="C35" s="93"/>
      <c r="D35" s="93"/>
      <c r="E35" s="24">
        <f t="shared" si="0"/>
        <v>0</v>
      </c>
      <c r="F35" s="93">
        <f t="shared" si="1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3"/>
        <v>474.18999999999994</v>
      </c>
      <c r="M35" s="44">
        <f t="shared" si="4"/>
        <v>474.18999999999994</v>
      </c>
      <c r="N35" s="44" t="str">
        <f t="shared" si="2"/>
        <v>Cr</v>
      </c>
      <c r="O35" s="44"/>
    </row>
    <row r="36" spans="1:15">
      <c r="A36" s="96" t="s">
        <v>150</v>
      </c>
      <c r="B36" s="93"/>
      <c r="C36" s="93"/>
      <c r="D36" s="93"/>
      <c r="E36" s="24">
        <f t="shared" si="0"/>
        <v>0</v>
      </c>
      <c r="F36" s="93">
        <f t="shared" si="1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3"/>
        <v>474.18999999999994</v>
      </c>
      <c r="M36" s="44">
        <f t="shared" si="4"/>
        <v>474.18999999999994</v>
      </c>
      <c r="N36" s="44" t="str">
        <f t="shared" si="2"/>
        <v>Cr</v>
      </c>
      <c r="O36" s="44"/>
    </row>
    <row r="37" spans="1:15">
      <c r="A37" s="96" t="s">
        <v>151</v>
      </c>
      <c r="B37" s="93"/>
      <c r="C37" s="93"/>
      <c r="D37" s="93"/>
      <c r="E37" s="24">
        <f t="shared" si="0"/>
        <v>0</v>
      </c>
      <c r="F37" s="93">
        <f t="shared" si="1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3"/>
        <v>474.18999999999994</v>
      </c>
      <c r="M37" s="44">
        <f t="shared" si="4"/>
        <v>474.18999999999994</v>
      </c>
      <c r="N37" s="44" t="str">
        <f t="shared" si="2"/>
        <v>Cr</v>
      </c>
      <c r="O37" s="44"/>
    </row>
    <row r="38" spans="1:15">
      <c r="A38" s="96" t="s">
        <v>152</v>
      </c>
      <c r="B38" s="93"/>
      <c r="C38" s="93"/>
      <c r="D38" s="93"/>
      <c r="E38" s="24">
        <f t="shared" si="0"/>
        <v>0</v>
      </c>
      <c r="F38" s="93">
        <f t="shared" si="1"/>
        <v>0</v>
      </c>
      <c r="G38" s="93" t="s">
        <v>120</v>
      </c>
      <c r="H38" s="20"/>
      <c r="I38" s="20"/>
      <c r="J38" s="62" t="s">
        <v>152</v>
      </c>
      <c r="K38" s="44"/>
      <c r="L38" s="44">
        <f t="shared" si="3"/>
        <v>474.18999999999994</v>
      </c>
      <c r="M38" s="44">
        <f t="shared" si="4"/>
        <v>474.18999999999994</v>
      </c>
      <c r="N38" s="44" t="str">
        <f t="shared" si="2"/>
        <v>Cr</v>
      </c>
      <c r="O38" s="44"/>
    </row>
    <row r="39" spans="1:15">
      <c r="A39" s="96" t="s">
        <v>153</v>
      </c>
      <c r="B39" s="93"/>
      <c r="C39" s="93"/>
      <c r="D39" s="93"/>
      <c r="E39" s="24">
        <f t="shared" si="0"/>
        <v>0</v>
      </c>
      <c r="F39" s="93">
        <f t="shared" si="1"/>
        <v>0</v>
      </c>
      <c r="G39" s="93" t="s">
        <v>120</v>
      </c>
      <c r="H39" s="20"/>
      <c r="I39" s="20"/>
      <c r="J39" s="62" t="s">
        <v>153</v>
      </c>
      <c r="K39" s="44"/>
      <c r="L39" s="44">
        <f t="shared" si="3"/>
        <v>474.18999999999994</v>
      </c>
      <c r="M39" s="44">
        <f t="shared" si="4"/>
        <v>474.18999999999994</v>
      </c>
      <c r="N39" s="44" t="str">
        <f t="shared" si="2"/>
        <v>Cr</v>
      </c>
      <c r="O39" s="44"/>
    </row>
    <row r="40" spans="1:15">
      <c r="A40" s="96" t="s">
        <v>154</v>
      </c>
      <c r="B40" s="93"/>
      <c r="C40" s="93"/>
      <c r="D40" s="93"/>
      <c r="E40" s="24">
        <f t="shared" si="0"/>
        <v>0</v>
      </c>
      <c r="F40" s="93">
        <f t="shared" si="1"/>
        <v>0</v>
      </c>
      <c r="G40" s="93" t="s">
        <v>120</v>
      </c>
      <c r="H40" s="20"/>
      <c r="I40" s="20"/>
      <c r="J40" s="62" t="s">
        <v>154</v>
      </c>
      <c r="K40" s="44"/>
      <c r="L40" s="44">
        <f t="shared" si="3"/>
        <v>474.18999999999994</v>
      </c>
      <c r="M40" s="44">
        <f t="shared" si="4"/>
        <v>474.18999999999994</v>
      </c>
      <c r="N40" s="44" t="str">
        <f t="shared" si="2"/>
        <v>Cr</v>
      </c>
      <c r="O40" s="44"/>
    </row>
    <row r="41" spans="1:15">
      <c r="A41" s="96" t="s">
        <v>156</v>
      </c>
      <c r="B41" s="93"/>
      <c r="C41" s="93"/>
      <c r="D41" s="93"/>
      <c r="E41" s="24">
        <f t="shared" si="0"/>
        <v>0</v>
      </c>
      <c r="F41" s="93">
        <f t="shared" si="1"/>
        <v>0</v>
      </c>
      <c r="G41" s="93" t="s">
        <v>120</v>
      </c>
      <c r="H41" s="20"/>
      <c r="I41" s="20"/>
      <c r="J41" s="62" t="s">
        <v>156</v>
      </c>
      <c r="K41" s="44"/>
      <c r="L41" s="44">
        <f t="shared" si="3"/>
        <v>474.18999999999994</v>
      </c>
      <c r="M41" s="44">
        <f t="shared" si="4"/>
        <v>474.18999999999994</v>
      </c>
      <c r="N41" s="44" t="str">
        <f t="shared" si="2"/>
        <v>Cr</v>
      </c>
      <c r="O41" s="44"/>
    </row>
    <row r="42" spans="1:15">
      <c r="A42" s="96" t="s">
        <v>157</v>
      </c>
      <c r="B42" s="93"/>
      <c r="C42" s="93"/>
      <c r="D42" s="93"/>
      <c r="E42" s="24">
        <f t="shared" si="0"/>
        <v>0</v>
      </c>
      <c r="F42" s="93">
        <f t="shared" si="1"/>
        <v>0</v>
      </c>
      <c r="G42" s="93" t="s">
        <v>120</v>
      </c>
      <c r="H42" s="20"/>
      <c r="I42" s="20"/>
      <c r="J42" s="62" t="s">
        <v>157</v>
      </c>
      <c r="K42" s="44"/>
      <c r="L42" s="44">
        <f t="shared" si="3"/>
        <v>474.18999999999994</v>
      </c>
      <c r="M42" s="44">
        <f t="shared" si="4"/>
        <v>474.18999999999994</v>
      </c>
      <c r="N42" s="44" t="str">
        <f t="shared" si="2"/>
        <v>Cr</v>
      </c>
      <c r="O42" s="44"/>
    </row>
    <row r="43" spans="1:15">
      <c r="A43" s="96" t="s">
        <v>158</v>
      </c>
      <c r="B43" s="93"/>
      <c r="C43" s="93"/>
      <c r="D43" s="93"/>
      <c r="E43" s="24">
        <f t="shared" si="0"/>
        <v>0</v>
      </c>
      <c r="F43" s="93">
        <f t="shared" si="1"/>
        <v>0</v>
      </c>
      <c r="G43" s="93" t="s">
        <v>120</v>
      </c>
      <c r="H43" s="20"/>
      <c r="I43" s="20"/>
      <c r="J43" s="62" t="s">
        <v>158</v>
      </c>
      <c r="K43" s="44"/>
      <c r="L43" s="44">
        <f t="shared" si="3"/>
        <v>474.18999999999994</v>
      </c>
      <c r="M43" s="44">
        <f t="shared" si="4"/>
        <v>474.18999999999994</v>
      </c>
      <c r="N43" s="44" t="str">
        <f t="shared" si="2"/>
        <v>Cr</v>
      </c>
      <c r="O43" s="44"/>
    </row>
    <row r="44" spans="1:15">
      <c r="A44" s="96" t="s">
        <v>159</v>
      </c>
      <c r="B44" s="93"/>
      <c r="C44" s="93"/>
      <c r="D44" s="93"/>
      <c r="E44" s="24">
        <f t="shared" si="0"/>
        <v>0</v>
      </c>
      <c r="F44" s="93">
        <f t="shared" si="1"/>
        <v>0</v>
      </c>
      <c r="G44" s="93" t="s">
        <v>120</v>
      </c>
      <c r="H44" s="20"/>
      <c r="I44" s="20"/>
      <c r="J44" s="62" t="s">
        <v>159</v>
      </c>
      <c r="K44" s="44"/>
      <c r="L44" s="44">
        <f t="shared" si="3"/>
        <v>474.18999999999994</v>
      </c>
      <c r="M44" s="44">
        <f t="shared" si="4"/>
        <v>474.18999999999994</v>
      </c>
      <c r="N44" s="44" t="str">
        <f t="shared" si="2"/>
        <v>Cr</v>
      </c>
      <c r="O44" s="44"/>
    </row>
    <row r="45" spans="1:15">
      <c r="A45" s="96" t="s">
        <v>160</v>
      </c>
      <c r="B45" s="93"/>
      <c r="C45" s="93"/>
      <c r="D45" s="93"/>
      <c r="E45" s="24">
        <f t="shared" si="0"/>
        <v>0</v>
      </c>
      <c r="F45" s="93">
        <f t="shared" si="1"/>
        <v>0</v>
      </c>
      <c r="G45" s="93" t="s">
        <v>120</v>
      </c>
      <c r="H45" s="20"/>
      <c r="I45" s="20"/>
      <c r="J45" s="62" t="s">
        <v>160</v>
      </c>
      <c r="K45" s="44"/>
      <c r="L45" s="44">
        <f t="shared" si="3"/>
        <v>474.18999999999994</v>
      </c>
      <c r="M45" s="44">
        <f t="shared" si="4"/>
        <v>474.18999999999994</v>
      </c>
      <c r="N45" s="44" t="str">
        <f t="shared" si="2"/>
        <v>Cr</v>
      </c>
      <c r="O45" s="44"/>
    </row>
    <row r="46" spans="1:15">
      <c r="A46" s="96" t="s">
        <v>161</v>
      </c>
      <c r="B46" s="93">
        <v>9.8000000000000007</v>
      </c>
      <c r="C46" s="93">
        <v>8.5</v>
      </c>
      <c r="D46" s="93">
        <v>2</v>
      </c>
      <c r="E46" s="24">
        <f t="shared" si="0"/>
        <v>97.7</v>
      </c>
      <c r="F46" s="93">
        <f t="shared" si="1"/>
        <v>195.4</v>
      </c>
      <c r="G46" s="93" t="s">
        <v>120</v>
      </c>
      <c r="H46" s="20"/>
      <c r="I46" s="20"/>
      <c r="J46" s="62" t="s">
        <v>161</v>
      </c>
      <c r="K46" s="44"/>
      <c r="L46" s="44">
        <f t="shared" si="3"/>
        <v>669.58999999999992</v>
      </c>
      <c r="M46" s="44">
        <f t="shared" si="4"/>
        <v>669.58999999999992</v>
      </c>
      <c r="N46" s="44" t="str">
        <f t="shared" si="2"/>
        <v>Cr</v>
      </c>
      <c r="O46" s="44"/>
    </row>
    <row r="47" spans="1:15">
      <c r="A47" s="96" t="s">
        <v>162</v>
      </c>
      <c r="B47" s="93">
        <v>7.8</v>
      </c>
      <c r="C47" s="93">
        <v>7.5</v>
      </c>
      <c r="D47" s="93">
        <v>1.7</v>
      </c>
      <c r="E47" s="24">
        <f t="shared" si="0"/>
        <v>80.699999999999989</v>
      </c>
      <c r="F47" s="93">
        <f t="shared" si="1"/>
        <v>137.18999999999997</v>
      </c>
      <c r="G47" s="93" t="s">
        <v>120</v>
      </c>
      <c r="H47" s="20"/>
      <c r="I47" s="20"/>
      <c r="J47" s="62" t="s">
        <v>162</v>
      </c>
      <c r="K47" s="44"/>
      <c r="L47" s="44">
        <f t="shared" si="3"/>
        <v>806.77999999999986</v>
      </c>
      <c r="M47" s="44">
        <f t="shared" si="4"/>
        <v>806.77999999999986</v>
      </c>
      <c r="N47" s="44" t="str">
        <f t="shared" si="2"/>
        <v>Cr</v>
      </c>
      <c r="O47" s="44"/>
    </row>
    <row r="48" spans="1:15">
      <c r="A48" s="62" t="s">
        <v>163</v>
      </c>
      <c r="B48" s="93">
        <v>8.1999999999999993</v>
      </c>
      <c r="C48" s="93">
        <v>9.4</v>
      </c>
      <c r="D48" s="93">
        <v>1.8</v>
      </c>
      <c r="E48" s="24">
        <f t="shared" si="0"/>
        <v>90.9</v>
      </c>
      <c r="F48" s="93">
        <f t="shared" si="1"/>
        <v>163.62</v>
      </c>
      <c r="G48" s="93" t="s">
        <v>120</v>
      </c>
      <c r="J48" s="62" t="s">
        <v>163</v>
      </c>
      <c r="K48" s="44"/>
      <c r="L48" s="44">
        <f t="shared" si="3"/>
        <v>970.39999999999986</v>
      </c>
      <c r="M48" s="44">
        <f t="shared" si="4"/>
        <v>970.39999999999986</v>
      </c>
      <c r="N48" s="44" t="str">
        <f t="shared" si="2"/>
        <v>Cr</v>
      </c>
      <c r="O48" s="44"/>
    </row>
    <row r="49" spans="1:15">
      <c r="A49" s="62" t="s">
        <v>164</v>
      </c>
      <c r="B49" s="93">
        <v>7.3</v>
      </c>
      <c r="C49" s="93">
        <v>6.1</v>
      </c>
      <c r="D49" s="93">
        <v>1.7</v>
      </c>
      <c r="E49" s="24">
        <f t="shared" si="0"/>
        <v>71.849999999999994</v>
      </c>
      <c r="F49" s="93">
        <f t="shared" si="1"/>
        <v>122.14499999999998</v>
      </c>
      <c r="G49" s="93" t="s">
        <v>120</v>
      </c>
      <c r="J49" s="62" t="s">
        <v>164</v>
      </c>
      <c r="K49" s="44"/>
      <c r="L49" s="44">
        <f t="shared" si="3"/>
        <v>1092.5449999999998</v>
      </c>
      <c r="M49" s="44">
        <f t="shared" si="4"/>
        <v>1092.5449999999998</v>
      </c>
      <c r="N49" s="44" t="str">
        <f t="shared" si="2"/>
        <v>Cr</v>
      </c>
      <c r="O49" s="44"/>
    </row>
    <row r="50" spans="1:15">
      <c r="A50" s="62" t="s">
        <v>165</v>
      </c>
      <c r="B50" s="93"/>
      <c r="C50" s="93"/>
      <c r="D50" s="93"/>
      <c r="E50" s="24">
        <f t="shared" si="0"/>
        <v>0</v>
      </c>
      <c r="F50" s="93">
        <f t="shared" si="1"/>
        <v>0</v>
      </c>
      <c r="G50" s="93" t="s">
        <v>120</v>
      </c>
      <c r="J50" s="62" t="s">
        <v>165</v>
      </c>
      <c r="K50" s="44"/>
      <c r="L50" s="44">
        <f t="shared" si="3"/>
        <v>1092.5449999999998</v>
      </c>
      <c r="M50" s="44">
        <f t="shared" si="4"/>
        <v>1092.5449999999998</v>
      </c>
      <c r="N50" s="44" t="str">
        <f t="shared" si="2"/>
        <v>Cr</v>
      </c>
      <c r="O50" s="44"/>
    </row>
    <row r="51" spans="1:15">
      <c r="A51" s="62" t="s">
        <v>166</v>
      </c>
      <c r="B51" s="93">
        <v>7.4</v>
      </c>
      <c r="C51" s="93">
        <v>6.9</v>
      </c>
      <c r="D51" s="93">
        <v>1.1000000000000001</v>
      </c>
      <c r="E51" s="24">
        <f t="shared" si="0"/>
        <v>75.7</v>
      </c>
      <c r="F51" s="93">
        <f t="shared" si="1"/>
        <v>83.27000000000001</v>
      </c>
      <c r="G51" s="93" t="s">
        <v>120</v>
      </c>
      <c r="J51" s="62" t="s">
        <v>166</v>
      </c>
      <c r="K51" s="44"/>
      <c r="L51" s="44">
        <f t="shared" si="3"/>
        <v>1175.8149999999998</v>
      </c>
      <c r="M51" s="44">
        <f t="shared" si="4"/>
        <v>1175.8149999999998</v>
      </c>
      <c r="N51" s="44"/>
      <c r="O51" s="44"/>
    </row>
    <row r="52" spans="1:15">
      <c r="A52" s="79" t="s">
        <v>167</v>
      </c>
      <c r="B52" s="99">
        <v>7.9</v>
      </c>
      <c r="C52" s="99">
        <v>9.6</v>
      </c>
      <c r="D52" s="99">
        <v>1.1000000000000001</v>
      </c>
      <c r="E52" s="80">
        <f t="shared" si="0"/>
        <v>89.75</v>
      </c>
      <c r="F52" s="93">
        <f t="shared" si="1"/>
        <v>98.725000000000009</v>
      </c>
      <c r="G52" s="93" t="s">
        <v>120</v>
      </c>
      <c r="J52" s="79" t="s">
        <v>167</v>
      </c>
      <c r="K52" s="44"/>
      <c r="L52" s="44">
        <f t="shared" si="3"/>
        <v>1274.5399999999997</v>
      </c>
      <c r="M52" s="44">
        <f t="shared" si="4"/>
        <v>1274.5399999999997</v>
      </c>
      <c r="N52" s="44"/>
      <c r="O52" s="44"/>
    </row>
    <row r="53" spans="1:15">
      <c r="A53" s="88" t="s">
        <v>168</v>
      </c>
      <c r="B53" s="153"/>
      <c r="C53" s="153"/>
      <c r="D53" s="153"/>
      <c r="E53" s="87">
        <f t="shared" si="0"/>
        <v>0</v>
      </c>
      <c r="F53" s="42">
        <f t="shared" si="1"/>
        <v>0</v>
      </c>
      <c r="G53" s="93" t="s">
        <v>120</v>
      </c>
      <c r="J53" s="88" t="s">
        <v>168</v>
      </c>
      <c r="K53" s="44">
        <v>1275</v>
      </c>
      <c r="L53" s="44">
        <f t="shared" si="3"/>
        <v>1274.5399999999997</v>
      </c>
      <c r="M53" s="44">
        <f t="shared" si="4"/>
        <v>-0.46000000000026375</v>
      </c>
      <c r="N53" s="44"/>
      <c r="O53" s="44"/>
    </row>
    <row r="54" spans="1:15">
      <c r="A54" s="83"/>
      <c r="B54" s="20"/>
      <c r="C54" s="20"/>
      <c r="D54" s="20"/>
      <c r="E54" s="20"/>
    </row>
    <row r="55" spans="1:15">
      <c r="A55" s="83"/>
      <c r="B55" s="20"/>
      <c r="C55" s="20"/>
      <c r="D55" s="20"/>
      <c r="E55" s="20"/>
    </row>
    <row r="56" spans="1:15">
      <c r="A56" s="83"/>
      <c r="B56" s="20"/>
      <c r="C56" s="20"/>
      <c r="D56" s="20"/>
      <c r="E56" s="20"/>
    </row>
    <row r="57" spans="1:15">
      <c r="A57" s="83"/>
      <c r="B57" s="20"/>
      <c r="C57" s="20"/>
      <c r="D57" s="20"/>
      <c r="E57" s="20"/>
    </row>
    <row r="58" spans="1:15">
      <c r="A58" s="83"/>
      <c r="B58" s="20"/>
      <c r="C58" s="20"/>
      <c r="D58" s="20"/>
      <c r="E58" s="20"/>
    </row>
    <row r="59" spans="1:15">
      <c r="A59" s="83"/>
      <c r="B59" s="20"/>
      <c r="C59" s="20"/>
      <c r="D59" s="20"/>
      <c r="E59" s="20"/>
    </row>
    <row r="60" spans="1:15">
      <c r="A60" s="83"/>
      <c r="B60" s="20"/>
      <c r="C60" s="20"/>
      <c r="D60" s="20"/>
      <c r="E60" s="20"/>
    </row>
    <row r="61" spans="1:15">
      <c r="A61" s="83"/>
      <c r="B61" s="20"/>
      <c r="C61" s="20"/>
      <c r="D61" s="20"/>
      <c r="E61" s="20"/>
    </row>
    <row r="62" spans="1:15">
      <c r="A62" s="83"/>
      <c r="B62" s="20"/>
      <c r="C62" s="20"/>
      <c r="D62" s="20"/>
      <c r="E62" s="20"/>
    </row>
    <row r="63" spans="1:15">
      <c r="A63" s="83"/>
      <c r="B63" s="20"/>
      <c r="C63" s="20"/>
      <c r="D63" s="20"/>
      <c r="E63" s="20"/>
    </row>
    <row r="64" spans="1:15">
      <c r="A64" s="83"/>
      <c r="B64" s="20"/>
      <c r="C64" s="20"/>
      <c r="D64" s="20"/>
      <c r="E64" s="20"/>
    </row>
    <row r="65" spans="1:5">
      <c r="A65" s="83"/>
      <c r="B65" s="20"/>
      <c r="C65" s="20"/>
      <c r="D65" s="20"/>
      <c r="E65" s="20"/>
    </row>
    <row r="66" spans="1:5">
      <c r="A66" s="83"/>
      <c r="B66" s="20"/>
      <c r="C66" s="20"/>
      <c r="D66" s="20"/>
      <c r="E66" s="20"/>
    </row>
    <row r="67" spans="1:5">
      <c r="A67" s="83"/>
      <c r="B67" s="20"/>
      <c r="C67" s="20"/>
      <c r="D67" s="20"/>
      <c r="E67" s="20"/>
    </row>
    <row r="68" spans="1:5">
      <c r="A68" s="83"/>
      <c r="B68" s="20"/>
      <c r="C68" s="20"/>
      <c r="D68" s="20"/>
      <c r="E68" s="20"/>
    </row>
  </sheetData>
  <mergeCells count="1">
    <mergeCell ref="B2:G2"/>
  </mergeCells>
  <hyperlinks>
    <hyperlink ref="F5" location="'Customer Index'!A8" display="Customer Code"/>
    <hyperlink ref="G5" location="'Customer Index'!A13" display="Bas06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topLeftCell="A37" zoomScaleNormal="100" workbookViewId="0">
      <selection activeCell="N49" sqref="N49:N53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2.8867187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209</v>
      </c>
      <c r="B3" s="51"/>
      <c r="C3" s="51"/>
      <c r="F3" s="52" t="s">
        <v>106</v>
      </c>
      <c r="G3" s="53">
        <v>9809293030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21" t="s">
        <v>37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53" si="0">(B8*6.5+C8*4)</f>
        <v>0</v>
      </c>
      <c r="F8" s="24">
        <f t="shared" ref="F8:F53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 t="shared" ref="N8:N53" si="2">IF(M8&lt;-1,"Dr","Cr")</f>
        <v>Cr</v>
      </c>
      <c r="O8" s="44"/>
      <c r="Q8" s="44">
        <f>SUM(F8:F68)</f>
        <v>6334.0399999999981</v>
      </c>
      <c r="R8" s="44">
        <f>SUM(K8:K48)</f>
        <v>1035.846</v>
      </c>
      <c r="S8" s="44">
        <f>(Q8-R8)</f>
        <v>5298.1939999999977</v>
      </c>
      <c r="T8" s="44">
        <f>SUM(D8:D47)</f>
        <v>77.899999999999977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3">(L8+F9)</f>
        <v>0</v>
      </c>
      <c r="M9" s="44">
        <f t="shared" ref="M9:M53" si="4">(M8+F9-K9)</f>
        <v>0</v>
      </c>
      <c r="N9" s="44" t="str">
        <f t="shared" si="2"/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3"/>
        <v>0</v>
      </c>
      <c r="M10" s="44">
        <f t="shared" si="4"/>
        <v>0</v>
      </c>
      <c r="N10" s="44" t="str">
        <f t="shared" si="2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3"/>
        <v>0</v>
      </c>
      <c r="M11" s="44">
        <f t="shared" si="4"/>
        <v>0</v>
      </c>
      <c r="N11" s="44" t="str">
        <f t="shared" si="2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3"/>
        <v>0</v>
      </c>
      <c r="M12" s="44">
        <f t="shared" si="4"/>
        <v>0</v>
      </c>
      <c r="N12" s="44" t="str">
        <f t="shared" si="2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3"/>
        <v>0</v>
      </c>
      <c r="M13" s="44">
        <f t="shared" si="4"/>
        <v>0</v>
      </c>
      <c r="N13" s="44" t="str">
        <f t="shared" si="2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3"/>
        <v>0</v>
      </c>
      <c r="M14" s="44">
        <f t="shared" si="4"/>
        <v>0</v>
      </c>
      <c r="N14" s="44" t="str">
        <f t="shared" si="2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3"/>
        <v>0</v>
      </c>
      <c r="M15" s="44">
        <f t="shared" si="4"/>
        <v>0</v>
      </c>
      <c r="N15" s="44" t="str">
        <f t="shared" si="2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3"/>
        <v>0</v>
      </c>
      <c r="M16" s="44">
        <f t="shared" si="4"/>
        <v>0</v>
      </c>
      <c r="N16" s="44" t="str">
        <f t="shared" si="2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3"/>
        <v>0</v>
      </c>
      <c r="M17" s="44">
        <f t="shared" si="4"/>
        <v>0</v>
      </c>
      <c r="N17" s="44" t="str">
        <f t="shared" si="2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>
        <v>5.8</v>
      </c>
      <c r="C18" s="93">
        <v>9.3000000000000007</v>
      </c>
      <c r="D18" s="93">
        <v>2.5</v>
      </c>
      <c r="E18" s="24">
        <f t="shared" si="0"/>
        <v>74.900000000000006</v>
      </c>
      <c r="F18" s="93">
        <f t="shared" si="1"/>
        <v>187.25</v>
      </c>
      <c r="G18" s="93" t="s">
        <v>120</v>
      </c>
      <c r="H18" s="20"/>
      <c r="I18" s="20"/>
      <c r="J18" s="62" t="s">
        <v>131</v>
      </c>
      <c r="K18" s="44"/>
      <c r="L18" s="44">
        <f t="shared" si="3"/>
        <v>187.25</v>
      </c>
      <c r="M18" s="44">
        <f t="shared" si="4"/>
        <v>187.25</v>
      </c>
      <c r="N18" s="44" t="str">
        <f t="shared" si="2"/>
        <v>Cr</v>
      </c>
      <c r="O18" s="44"/>
    </row>
    <row r="19" spans="1:21">
      <c r="A19" s="96" t="s">
        <v>132</v>
      </c>
      <c r="B19" s="93">
        <v>5.9</v>
      </c>
      <c r="C19" s="93">
        <v>9.1999999999999993</v>
      </c>
      <c r="D19" s="93">
        <v>2.8</v>
      </c>
      <c r="E19" s="24">
        <f t="shared" si="0"/>
        <v>75.150000000000006</v>
      </c>
      <c r="F19" s="93">
        <f t="shared" si="1"/>
        <v>210.42000000000002</v>
      </c>
      <c r="G19" s="93" t="s">
        <v>120</v>
      </c>
      <c r="H19" s="20"/>
      <c r="I19" s="20"/>
      <c r="J19" s="62" t="s">
        <v>132</v>
      </c>
      <c r="K19" s="44"/>
      <c r="L19" s="44">
        <f t="shared" si="3"/>
        <v>397.67</v>
      </c>
      <c r="M19" s="44">
        <f t="shared" si="4"/>
        <v>397.67</v>
      </c>
      <c r="N19" s="44" t="str">
        <f t="shared" si="2"/>
        <v>Cr</v>
      </c>
      <c r="O19" s="44"/>
    </row>
    <row r="20" spans="1:21">
      <c r="A20" s="96" t="s">
        <v>133</v>
      </c>
      <c r="B20" s="93">
        <v>6.11</v>
      </c>
      <c r="C20" s="93">
        <v>9.4600000000000009</v>
      </c>
      <c r="D20" s="93">
        <v>2.8</v>
      </c>
      <c r="E20" s="24">
        <f t="shared" si="0"/>
        <v>77.555000000000007</v>
      </c>
      <c r="F20" s="93">
        <f t="shared" si="1"/>
        <v>217.154</v>
      </c>
      <c r="G20" s="93" t="s">
        <v>120</v>
      </c>
      <c r="H20" s="20"/>
      <c r="I20" s="20"/>
      <c r="J20" s="62" t="s">
        <v>133</v>
      </c>
      <c r="K20" s="44"/>
      <c r="L20" s="44">
        <f t="shared" si="3"/>
        <v>614.82400000000007</v>
      </c>
      <c r="M20" s="44">
        <f t="shared" si="4"/>
        <v>614.82400000000007</v>
      </c>
      <c r="N20" s="44" t="str">
        <f t="shared" si="2"/>
        <v>Cr</v>
      </c>
      <c r="O20" s="44"/>
    </row>
    <row r="21" spans="1:21">
      <c r="A21" s="96" t="s">
        <v>134</v>
      </c>
      <c r="B21" s="93">
        <v>5.24</v>
      </c>
      <c r="C21" s="93">
        <v>9.5</v>
      </c>
      <c r="D21" s="93">
        <v>2.9</v>
      </c>
      <c r="E21" s="24">
        <f t="shared" si="0"/>
        <v>72.06</v>
      </c>
      <c r="F21" s="93">
        <f t="shared" si="1"/>
        <v>208.97399999999999</v>
      </c>
      <c r="G21" s="93" t="s">
        <v>120</v>
      </c>
      <c r="H21" s="20"/>
      <c r="I21" s="20"/>
      <c r="J21" s="62" t="s">
        <v>134</v>
      </c>
      <c r="K21" s="44"/>
      <c r="L21" s="44">
        <f t="shared" si="3"/>
        <v>823.798</v>
      </c>
      <c r="M21" s="44">
        <f t="shared" si="4"/>
        <v>823.798</v>
      </c>
      <c r="N21" s="44" t="str">
        <f t="shared" si="2"/>
        <v>Cr</v>
      </c>
      <c r="O21" s="44"/>
    </row>
    <row r="22" spans="1:21">
      <c r="A22" s="96" t="s">
        <v>135</v>
      </c>
      <c r="B22" s="93">
        <v>5.44</v>
      </c>
      <c r="C22" s="93">
        <v>9.44</v>
      </c>
      <c r="D22" s="93">
        <v>2.9</v>
      </c>
      <c r="E22" s="24">
        <f t="shared" si="0"/>
        <v>73.12</v>
      </c>
      <c r="F22" s="93">
        <f t="shared" si="1"/>
        <v>212.048</v>
      </c>
      <c r="G22" s="93" t="s">
        <v>120</v>
      </c>
      <c r="H22" s="20"/>
      <c r="I22" s="20"/>
      <c r="J22" s="62" t="s">
        <v>135</v>
      </c>
      <c r="K22" s="44"/>
      <c r="L22" s="44">
        <f t="shared" si="3"/>
        <v>1035.846</v>
      </c>
      <c r="M22" s="44">
        <f t="shared" si="4"/>
        <v>1035.846</v>
      </c>
      <c r="N22" s="44" t="str">
        <f t="shared" si="2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0"/>
        <v>0</v>
      </c>
      <c r="F23" s="93">
        <f t="shared" si="1"/>
        <v>0</v>
      </c>
      <c r="G23" s="93" t="s">
        <v>120</v>
      </c>
      <c r="H23" s="20"/>
      <c r="I23" s="20"/>
      <c r="J23" s="62" t="s">
        <v>136</v>
      </c>
      <c r="K23" s="44">
        <v>1035.846</v>
      </c>
      <c r="L23" s="44">
        <f t="shared" si="3"/>
        <v>1035.846</v>
      </c>
      <c r="M23" s="44">
        <f t="shared" si="4"/>
        <v>0</v>
      </c>
      <c r="N23" s="44" t="str">
        <f t="shared" si="2"/>
        <v>Cr</v>
      </c>
      <c r="O23" s="44"/>
    </row>
    <row r="24" spans="1:21">
      <c r="A24" s="73" t="s">
        <v>138</v>
      </c>
      <c r="B24" s="75">
        <v>5.1100000000000003</v>
      </c>
      <c r="C24" s="75">
        <v>8</v>
      </c>
      <c r="D24" s="75">
        <v>2.9</v>
      </c>
      <c r="E24" s="75">
        <f t="shared" si="0"/>
        <v>65.215000000000003</v>
      </c>
      <c r="F24" s="75">
        <f t="shared" si="1"/>
        <v>189.12350000000001</v>
      </c>
      <c r="G24" s="75" t="s">
        <v>120</v>
      </c>
      <c r="H24" s="20"/>
      <c r="I24" s="20"/>
      <c r="J24" s="73" t="s">
        <v>138</v>
      </c>
      <c r="K24" s="154"/>
      <c r="L24" s="154">
        <f t="shared" si="3"/>
        <v>1224.9694999999999</v>
      </c>
      <c r="M24" s="154">
        <f t="shared" si="4"/>
        <v>189.12350000000001</v>
      </c>
      <c r="N24" s="154" t="str">
        <f t="shared" si="2"/>
        <v>Cr</v>
      </c>
      <c r="O24" s="154"/>
    </row>
    <row r="25" spans="1:21">
      <c r="A25" s="96" t="s">
        <v>139</v>
      </c>
      <c r="B25" s="93">
        <v>5.47</v>
      </c>
      <c r="C25" s="93">
        <v>9</v>
      </c>
      <c r="D25" s="93">
        <v>2.8</v>
      </c>
      <c r="E25" s="24">
        <f t="shared" si="0"/>
        <v>71.555000000000007</v>
      </c>
      <c r="F25" s="93">
        <f t="shared" si="1"/>
        <v>200.35400000000001</v>
      </c>
      <c r="G25" s="93" t="s">
        <v>120</v>
      </c>
      <c r="H25" s="20"/>
      <c r="I25" s="20"/>
      <c r="J25" s="62" t="s">
        <v>139</v>
      </c>
      <c r="K25" s="44"/>
      <c r="L25" s="44">
        <f t="shared" si="3"/>
        <v>1425.3235</v>
      </c>
      <c r="M25" s="44">
        <f t="shared" si="4"/>
        <v>389.47750000000002</v>
      </c>
      <c r="N25" s="44" t="str">
        <f t="shared" si="2"/>
        <v>Cr</v>
      </c>
      <c r="O25" s="44"/>
    </row>
    <row r="26" spans="1:21">
      <c r="A26" s="96" t="s">
        <v>140</v>
      </c>
      <c r="B26" s="93">
        <v>5.81</v>
      </c>
      <c r="C26" s="93">
        <v>9</v>
      </c>
      <c r="D26" s="93">
        <v>2.8</v>
      </c>
      <c r="E26" s="24">
        <f t="shared" si="0"/>
        <v>73.765000000000001</v>
      </c>
      <c r="F26" s="93">
        <f t="shared" si="1"/>
        <v>206.542</v>
      </c>
      <c r="G26" s="93" t="s">
        <v>120</v>
      </c>
      <c r="H26" s="20"/>
      <c r="I26" s="20"/>
      <c r="J26" s="62" t="s">
        <v>140</v>
      </c>
      <c r="K26" s="44"/>
      <c r="L26" s="44">
        <f t="shared" si="3"/>
        <v>1631.8654999999999</v>
      </c>
      <c r="M26" s="44">
        <f t="shared" si="4"/>
        <v>596.01949999999999</v>
      </c>
      <c r="N26" s="44" t="str">
        <f t="shared" si="2"/>
        <v>Cr</v>
      </c>
      <c r="O26" s="44"/>
    </row>
    <row r="27" spans="1:21">
      <c r="A27" s="96" t="s">
        <v>141</v>
      </c>
      <c r="B27" s="93">
        <v>5.27</v>
      </c>
      <c r="C27" s="93">
        <v>9.36</v>
      </c>
      <c r="D27" s="93">
        <v>2.9</v>
      </c>
      <c r="E27" s="24">
        <f t="shared" si="0"/>
        <v>71.694999999999993</v>
      </c>
      <c r="F27" s="93">
        <f t="shared" si="1"/>
        <v>207.91549999999998</v>
      </c>
      <c r="G27" s="93" t="s">
        <v>155</v>
      </c>
      <c r="H27" s="20"/>
      <c r="I27" s="20"/>
      <c r="J27" s="62" t="s">
        <v>141</v>
      </c>
      <c r="K27" s="44"/>
      <c r="L27" s="44">
        <f t="shared" si="3"/>
        <v>1839.7809999999999</v>
      </c>
      <c r="M27" s="44">
        <f t="shared" si="4"/>
        <v>803.93499999999995</v>
      </c>
      <c r="N27" s="44" t="str">
        <f t="shared" si="2"/>
        <v>Cr</v>
      </c>
      <c r="O27" s="44"/>
    </row>
    <row r="28" spans="1:21">
      <c r="A28" s="96" t="s">
        <v>142</v>
      </c>
      <c r="B28" s="93">
        <v>5.28</v>
      </c>
      <c r="C28" s="93">
        <v>9.11</v>
      </c>
      <c r="D28" s="93">
        <v>3.2</v>
      </c>
      <c r="E28" s="24">
        <f t="shared" si="0"/>
        <v>70.759999999999991</v>
      </c>
      <c r="F28" s="93">
        <f t="shared" si="1"/>
        <v>226.43199999999999</v>
      </c>
      <c r="G28" s="93" t="s">
        <v>120</v>
      </c>
      <c r="H28" s="20"/>
      <c r="I28" s="20"/>
      <c r="J28" s="62" t="s">
        <v>142</v>
      </c>
      <c r="K28" s="44"/>
      <c r="L28" s="44">
        <f t="shared" si="3"/>
        <v>2066.2129999999997</v>
      </c>
      <c r="M28" s="44">
        <f t="shared" si="4"/>
        <v>1030.367</v>
      </c>
      <c r="N28" s="44" t="str">
        <f t="shared" si="2"/>
        <v>Cr</v>
      </c>
      <c r="O28" s="44"/>
    </row>
    <row r="29" spans="1:21">
      <c r="A29" s="96" t="s">
        <v>143</v>
      </c>
      <c r="B29" s="93">
        <v>5.43</v>
      </c>
      <c r="C29" s="93">
        <v>9.1999999999999993</v>
      </c>
      <c r="D29" s="93">
        <v>3.1</v>
      </c>
      <c r="E29" s="24">
        <f t="shared" si="0"/>
        <v>72.094999999999999</v>
      </c>
      <c r="F29" s="93">
        <f t="shared" si="1"/>
        <v>223.49450000000002</v>
      </c>
      <c r="G29" s="93" t="s">
        <v>120</v>
      </c>
      <c r="H29" s="20"/>
      <c r="I29" s="20"/>
      <c r="J29" s="62" t="s">
        <v>143</v>
      </c>
      <c r="K29" s="44"/>
      <c r="L29" s="44">
        <f t="shared" si="3"/>
        <v>2289.7074999999995</v>
      </c>
      <c r="M29" s="44">
        <f t="shared" si="4"/>
        <v>1253.8615</v>
      </c>
      <c r="N29" s="44" t="str">
        <f t="shared" si="2"/>
        <v>Cr</v>
      </c>
      <c r="O29" s="44"/>
    </row>
    <row r="30" spans="1:21">
      <c r="A30" s="96" t="s">
        <v>144</v>
      </c>
      <c r="B30" s="93">
        <v>4.96</v>
      </c>
      <c r="C30" s="93">
        <v>9</v>
      </c>
      <c r="D30" s="93">
        <v>2.9</v>
      </c>
      <c r="E30" s="24">
        <f t="shared" si="0"/>
        <v>68.240000000000009</v>
      </c>
      <c r="F30" s="93">
        <f t="shared" si="1"/>
        <v>197.89600000000002</v>
      </c>
      <c r="G30" s="93" t="s">
        <v>155</v>
      </c>
      <c r="H30" s="20"/>
      <c r="I30" s="20"/>
      <c r="J30" s="62" t="s">
        <v>144</v>
      </c>
      <c r="K30" s="44"/>
      <c r="L30" s="44">
        <f t="shared" si="3"/>
        <v>2487.6034999999997</v>
      </c>
      <c r="M30" s="44">
        <f t="shared" si="4"/>
        <v>1451.7574999999999</v>
      </c>
      <c r="N30" s="44" t="str">
        <f t="shared" si="2"/>
        <v>Cr</v>
      </c>
      <c r="O30" s="44"/>
    </row>
    <row r="31" spans="1:21">
      <c r="A31" s="96" t="s">
        <v>145</v>
      </c>
      <c r="B31" s="93">
        <v>5.33</v>
      </c>
      <c r="C31" s="93">
        <v>9.82</v>
      </c>
      <c r="D31" s="93">
        <v>2.9</v>
      </c>
      <c r="E31" s="24">
        <f t="shared" si="0"/>
        <v>73.925000000000011</v>
      </c>
      <c r="F31" s="93">
        <f t="shared" si="1"/>
        <v>214.38250000000002</v>
      </c>
      <c r="G31" s="93" t="s">
        <v>120</v>
      </c>
      <c r="H31" s="20"/>
      <c r="I31" s="20"/>
      <c r="J31" s="62" t="s">
        <v>145</v>
      </c>
      <c r="K31" s="44"/>
      <c r="L31" s="44">
        <f t="shared" si="3"/>
        <v>2701.9859999999999</v>
      </c>
      <c r="M31" s="44">
        <f t="shared" si="4"/>
        <v>1666.1399999999999</v>
      </c>
      <c r="N31" s="44" t="str">
        <f t="shared" si="2"/>
        <v>Cr</v>
      </c>
      <c r="O31" s="44"/>
    </row>
    <row r="32" spans="1:21">
      <c r="A32" s="96" t="s">
        <v>146</v>
      </c>
      <c r="B32" s="93">
        <v>5.42</v>
      </c>
      <c r="C32" s="93">
        <v>9.5299999999999994</v>
      </c>
      <c r="D32" s="93">
        <v>3.3</v>
      </c>
      <c r="E32" s="24">
        <f t="shared" si="0"/>
        <v>73.349999999999994</v>
      </c>
      <c r="F32" s="93">
        <f t="shared" si="1"/>
        <v>242.05499999999998</v>
      </c>
      <c r="G32" s="93" t="s">
        <v>120</v>
      </c>
      <c r="H32" s="20"/>
      <c r="I32" s="20"/>
      <c r="J32" s="62" t="s">
        <v>146</v>
      </c>
      <c r="K32" s="44"/>
      <c r="L32" s="44">
        <f t="shared" si="3"/>
        <v>2944.0409999999997</v>
      </c>
      <c r="M32" s="44">
        <f t="shared" si="4"/>
        <v>1908.1949999999999</v>
      </c>
      <c r="N32" s="44" t="str">
        <f t="shared" si="2"/>
        <v>Cr</v>
      </c>
      <c r="O32" s="44"/>
    </row>
    <row r="33" spans="1:15">
      <c r="A33" s="96" t="s">
        <v>147</v>
      </c>
      <c r="B33" s="93">
        <v>5.42</v>
      </c>
      <c r="C33" s="93">
        <v>9.5299999999999994</v>
      </c>
      <c r="D33" s="93">
        <v>3.3</v>
      </c>
      <c r="E33" s="24">
        <f t="shared" si="0"/>
        <v>73.349999999999994</v>
      </c>
      <c r="F33" s="93">
        <f t="shared" si="1"/>
        <v>242.05499999999998</v>
      </c>
      <c r="G33" s="93" t="s">
        <v>120</v>
      </c>
      <c r="H33" s="20"/>
      <c r="I33" s="20"/>
      <c r="J33" s="62" t="s">
        <v>147</v>
      </c>
      <c r="K33" s="44"/>
      <c r="L33" s="44">
        <f t="shared" si="3"/>
        <v>3186.0959999999995</v>
      </c>
      <c r="M33" s="44">
        <f t="shared" si="4"/>
        <v>2150.25</v>
      </c>
      <c r="N33" s="44" t="str">
        <f t="shared" si="2"/>
        <v>Cr</v>
      </c>
      <c r="O33" s="44"/>
    </row>
    <row r="34" spans="1:15">
      <c r="A34" s="96" t="s">
        <v>148</v>
      </c>
      <c r="B34" s="93">
        <v>5.12</v>
      </c>
      <c r="C34" s="93">
        <v>8.73</v>
      </c>
      <c r="D34" s="93">
        <v>2.8</v>
      </c>
      <c r="E34" s="24">
        <f t="shared" si="0"/>
        <v>68.2</v>
      </c>
      <c r="F34" s="93">
        <f t="shared" si="1"/>
        <v>190.96</v>
      </c>
      <c r="G34" s="93" t="s">
        <v>120</v>
      </c>
      <c r="H34" s="20"/>
      <c r="I34" s="20"/>
      <c r="J34" s="62" t="s">
        <v>148</v>
      </c>
      <c r="K34" s="44"/>
      <c r="L34" s="44">
        <f t="shared" si="3"/>
        <v>3377.0559999999996</v>
      </c>
      <c r="M34" s="44">
        <f t="shared" si="4"/>
        <v>2341.21</v>
      </c>
      <c r="N34" s="44" t="str">
        <f t="shared" si="2"/>
        <v>Cr</v>
      </c>
      <c r="O34" s="44"/>
    </row>
    <row r="35" spans="1:15">
      <c r="A35" s="96" t="s">
        <v>149</v>
      </c>
      <c r="B35" s="93">
        <v>5.08</v>
      </c>
      <c r="C35" s="93">
        <v>9.02</v>
      </c>
      <c r="D35" s="93">
        <v>2.9</v>
      </c>
      <c r="E35" s="24">
        <f t="shared" si="0"/>
        <v>69.099999999999994</v>
      </c>
      <c r="F35" s="93">
        <f t="shared" si="1"/>
        <v>200.39</v>
      </c>
      <c r="G35" s="93" t="s">
        <v>120</v>
      </c>
      <c r="H35" s="20"/>
      <c r="I35" s="20"/>
      <c r="J35" s="62" t="s">
        <v>149</v>
      </c>
      <c r="K35" s="44"/>
      <c r="L35" s="44">
        <f t="shared" si="3"/>
        <v>3577.4459999999995</v>
      </c>
      <c r="M35" s="44">
        <f t="shared" si="4"/>
        <v>2541.6</v>
      </c>
      <c r="N35" s="44" t="str">
        <f t="shared" si="2"/>
        <v>Cr</v>
      </c>
      <c r="O35" s="44"/>
    </row>
    <row r="36" spans="1:15">
      <c r="A36" s="96" t="s">
        <v>150</v>
      </c>
      <c r="B36" s="93">
        <v>5.04</v>
      </c>
      <c r="C36" s="93">
        <v>8.9600000000000009</v>
      </c>
      <c r="D36" s="93">
        <v>2.9</v>
      </c>
      <c r="E36" s="24">
        <f t="shared" si="0"/>
        <v>68.599999999999994</v>
      </c>
      <c r="F36" s="93">
        <f t="shared" si="1"/>
        <v>198.93999999999997</v>
      </c>
      <c r="G36" s="93" t="s">
        <v>120</v>
      </c>
      <c r="H36" s="20"/>
      <c r="I36" s="20"/>
      <c r="J36" s="62" t="s">
        <v>150</v>
      </c>
      <c r="K36" s="44"/>
      <c r="L36" s="44">
        <f t="shared" si="3"/>
        <v>3776.3859999999995</v>
      </c>
      <c r="M36" s="44">
        <f t="shared" si="4"/>
        <v>2740.54</v>
      </c>
      <c r="N36" s="44" t="str">
        <f t="shared" si="2"/>
        <v>Cr</v>
      </c>
      <c r="O36" s="44"/>
    </row>
    <row r="37" spans="1:15">
      <c r="A37" s="96" t="s">
        <v>151</v>
      </c>
      <c r="B37" s="93">
        <v>5.04</v>
      </c>
      <c r="C37" s="93">
        <v>9</v>
      </c>
      <c r="D37" s="93">
        <v>2.9</v>
      </c>
      <c r="E37" s="24">
        <f t="shared" si="0"/>
        <v>68.759999999999991</v>
      </c>
      <c r="F37" s="93">
        <f t="shared" si="1"/>
        <v>199.40399999999997</v>
      </c>
      <c r="G37" s="93" t="s">
        <v>120</v>
      </c>
      <c r="H37" s="20"/>
      <c r="I37" s="20"/>
      <c r="J37" s="62" t="s">
        <v>151</v>
      </c>
      <c r="K37" s="44"/>
      <c r="L37" s="44">
        <f t="shared" si="3"/>
        <v>3975.7899999999995</v>
      </c>
      <c r="M37" s="44">
        <f t="shared" si="4"/>
        <v>2939.944</v>
      </c>
      <c r="N37" s="44" t="str">
        <f t="shared" si="2"/>
        <v>Cr</v>
      </c>
      <c r="O37" s="44"/>
    </row>
    <row r="38" spans="1:15">
      <c r="A38" s="96" t="s">
        <v>152</v>
      </c>
      <c r="B38" s="93">
        <v>5.2</v>
      </c>
      <c r="C38" s="93">
        <v>9.6999999999999993</v>
      </c>
      <c r="D38" s="93">
        <v>2.8</v>
      </c>
      <c r="E38" s="24">
        <f t="shared" si="0"/>
        <v>72.599999999999994</v>
      </c>
      <c r="F38" s="93">
        <f t="shared" si="1"/>
        <v>203.27999999999997</v>
      </c>
      <c r="G38" s="93" t="s">
        <v>120</v>
      </c>
      <c r="H38" s="20"/>
      <c r="I38" s="20"/>
      <c r="J38" s="62" t="s">
        <v>152</v>
      </c>
      <c r="K38" s="44"/>
      <c r="L38" s="44">
        <f t="shared" si="3"/>
        <v>4179.07</v>
      </c>
      <c r="M38" s="44">
        <f t="shared" si="4"/>
        <v>3143.2240000000002</v>
      </c>
      <c r="N38" s="44" t="str">
        <f t="shared" si="2"/>
        <v>Cr</v>
      </c>
      <c r="O38" s="44"/>
    </row>
    <row r="39" spans="1:15">
      <c r="A39" s="96" t="s">
        <v>153</v>
      </c>
      <c r="B39" s="93">
        <v>5.6</v>
      </c>
      <c r="C39" s="93">
        <v>8.8000000000000007</v>
      </c>
      <c r="D39" s="93">
        <v>2.7</v>
      </c>
      <c r="E39" s="24">
        <f t="shared" si="0"/>
        <v>71.599999999999994</v>
      </c>
      <c r="F39" s="93">
        <f t="shared" si="1"/>
        <v>193.32</v>
      </c>
      <c r="G39" s="93" t="s">
        <v>120</v>
      </c>
      <c r="H39" s="20"/>
      <c r="I39" s="20"/>
      <c r="J39" s="62" t="s">
        <v>153</v>
      </c>
      <c r="K39" s="44"/>
      <c r="L39" s="44">
        <f t="shared" si="3"/>
        <v>4372.3899999999994</v>
      </c>
      <c r="M39" s="44">
        <f t="shared" si="4"/>
        <v>3336.5440000000003</v>
      </c>
      <c r="N39" s="44" t="str">
        <f t="shared" si="2"/>
        <v>Cr</v>
      </c>
      <c r="O39" s="44"/>
    </row>
    <row r="40" spans="1:15">
      <c r="A40" s="96" t="s">
        <v>154</v>
      </c>
      <c r="B40" s="93">
        <v>5.5</v>
      </c>
      <c r="C40" s="93">
        <v>8.8000000000000007</v>
      </c>
      <c r="D40" s="93">
        <v>2.8</v>
      </c>
      <c r="E40" s="24">
        <f t="shared" si="0"/>
        <v>70.95</v>
      </c>
      <c r="F40" s="93">
        <f t="shared" si="1"/>
        <v>198.66</v>
      </c>
      <c r="G40" s="93" t="s">
        <v>120</v>
      </c>
      <c r="H40" s="20"/>
      <c r="I40" s="20"/>
      <c r="J40" s="62" t="s">
        <v>154</v>
      </c>
      <c r="K40" s="44"/>
      <c r="L40" s="44">
        <f t="shared" si="3"/>
        <v>4571.0499999999993</v>
      </c>
      <c r="M40" s="44">
        <f t="shared" si="4"/>
        <v>3535.2040000000002</v>
      </c>
      <c r="N40" s="44" t="str">
        <f t="shared" si="2"/>
        <v>Cr</v>
      </c>
      <c r="O40" s="44"/>
    </row>
    <row r="41" spans="1:15">
      <c r="A41" s="96" t="s">
        <v>156</v>
      </c>
      <c r="B41" s="93">
        <v>5.2</v>
      </c>
      <c r="C41" s="93">
        <v>8.1999999999999993</v>
      </c>
      <c r="D41" s="93">
        <v>2.8</v>
      </c>
      <c r="E41" s="24">
        <f t="shared" si="0"/>
        <v>66.599999999999994</v>
      </c>
      <c r="F41" s="93">
        <f t="shared" si="1"/>
        <v>186.47999999999996</v>
      </c>
      <c r="G41" s="93" t="s">
        <v>120</v>
      </c>
      <c r="H41" s="20"/>
      <c r="I41" s="20"/>
      <c r="J41" s="62" t="s">
        <v>156</v>
      </c>
      <c r="K41" s="44"/>
      <c r="L41" s="44">
        <f t="shared" si="3"/>
        <v>4757.5299999999988</v>
      </c>
      <c r="M41" s="44">
        <f t="shared" si="4"/>
        <v>3721.6840000000002</v>
      </c>
      <c r="N41" s="44" t="str">
        <f t="shared" si="2"/>
        <v>Cr</v>
      </c>
      <c r="O41" s="44"/>
    </row>
    <row r="42" spans="1:15">
      <c r="A42" s="96" t="s">
        <v>157</v>
      </c>
      <c r="B42" s="93">
        <v>5.4</v>
      </c>
      <c r="C42" s="93">
        <v>9</v>
      </c>
      <c r="D42" s="93">
        <v>2.6</v>
      </c>
      <c r="E42" s="24">
        <f t="shared" si="0"/>
        <v>71.099999999999994</v>
      </c>
      <c r="F42" s="93">
        <f t="shared" si="1"/>
        <v>184.85999999999999</v>
      </c>
      <c r="G42" s="93" t="s">
        <v>120</v>
      </c>
      <c r="H42" s="20"/>
      <c r="I42" s="20"/>
      <c r="J42" s="62" t="s">
        <v>157</v>
      </c>
      <c r="K42" s="44"/>
      <c r="L42" s="44">
        <f t="shared" si="3"/>
        <v>4942.3899999999985</v>
      </c>
      <c r="M42" s="44">
        <f t="shared" si="4"/>
        <v>3906.5440000000003</v>
      </c>
      <c r="N42" s="44" t="str">
        <f t="shared" si="2"/>
        <v>Cr</v>
      </c>
      <c r="O42" s="44"/>
    </row>
    <row r="43" spans="1:15">
      <c r="A43" s="96" t="s">
        <v>158</v>
      </c>
      <c r="B43" s="93">
        <v>5.5</v>
      </c>
      <c r="C43" s="93">
        <v>8.9</v>
      </c>
      <c r="D43" s="93">
        <v>2.7</v>
      </c>
      <c r="E43" s="24">
        <f t="shared" si="0"/>
        <v>71.349999999999994</v>
      </c>
      <c r="F43" s="93">
        <f t="shared" si="1"/>
        <v>192.64500000000001</v>
      </c>
      <c r="G43" s="93" t="s">
        <v>120</v>
      </c>
      <c r="H43" s="20"/>
      <c r="I43" s="20"/>
      <c r="J43" s="62" t="s">
        <v>158</v>
      </c>
      <c r="K43" s="44"/>
      <c r="L43" s="44">
        <f t="shared" si="3"/>
        <v>5135.0349999999989</v>
      </c>
      <c r="M43" s="44">
        <f t="shared" si="4"/>
        <v>4099.1890000000003</v>
      </c>
      <c r="N43" s="44" t="str">
        <f t="shared" si="2"/>
        <v>Cr</v>
      </c>
      <c r="O43" s="44"/>
    </row>
    <row r="44" spans="1:15">
      <c r="A44" s="96" t="s">
        <v>159</v>
      </c>
      <c r="B44" s="93">
        <v>4.8</v>
      </c>
      <c r="C44" s="93">
        <v>7.7</v>
      </c>
      <c r="D44" s="93">
        <v>2.8</v>
      </c>
      <c r="E44" s="24">
        <f t="shared" si="0"/>
        <v>62</v>
      </c>
      <c r="F44" s="93">
        <f t="shared" si="1"/>
        <v>173.6</v>
      </c>
      <c r="G44" s="93" t="s">
        <v>120</v>
      </c>
      <c r="H44" s="20"/>
      <c r="I44" s="20"/>
      <c r="J44" s="62" t="s">
        <v>159</v>
      </c>
      <c r="K44" s="44"/>
      <c r="L44" s="44">
        <f t="shared" si="3"/>
        <v>5308.6349999999993</v>
      </c>
      <c r="M44" s="44">
        <f t="shared" si="4"/>
        <v>4272.7890000000007</v>
      </c>
      <c r="N44" s="44" t="str">
        <f t="shared" si="2"/>
        <v>Cr</v>
      </c>
      <c r="O44" s="44"/>
    </row>
    <row r="45" spans="1:15">
      <c r="A45" s="66" t="s">
        <v>160</v>
      </c>
      <c r="B45" s="68"/>
      <c r="C45" s="68"/>
      <c r="D45" s="68"/>
      <c r="E45" s="68">
        <f t="shared" si="0"/>
        <v>0</v>
      </c>
      <c r="F45" s="68">
        <f t="shared" si="1"/>
        <v>0</v>
      </c>
      <c r="G45" s="68" t="s">
        <v>155</v>
      </c>
      <c r="H45" s="20"/>
      <c r="I45" s="20"/>
      <c r="J45" s="62" t="s">
        <v>160</v>
      </c>
      <c r="K45" s="44"/>
      <c r="L45" s="44">
        <f t="shared" si="3"/>
        <v>5308.6349999999993</v>
      </c>
      <c r="M45" s="44">
        <f t="shared" si="4"/>
        <v>4272.7890000000007</v>
      </c>
      <c r="N45" s="44" t="str">
        <f t="shared" si="2"/>
        <v>Cr</v>
      </c>
      <c r="O45" s="44"/>
    </row>
    <row r="46" spans="1:15">
      <c r="A46" s="96" t="s">
        <v>161</v>
      </c>
      <c r="B46" s="93">
        <v>4.0999999999999996</v>
      </c>
      <c r="C46" s="93">
        <v>5.8</v>
      </c>
      <c r="D46" s="93">
        <v>3.2</v>
      </c>
      <c r="E46" s="24">
        <f t="shared" si="0"/>
        <v>49.849999999999994</v>
      </c>
      <c r="F46" s="93">
        <f t="shared" si="1"/>
        <v>159.51999999999998</v>
      </c>
      <c r="G46" s="93" t="s">
        <v>120</v>
      </c>
      <c r="H46" s="20"/>
      <c r="I46" s="20"/>
      <c r="J46" s="62" t="s">
        <v>161</v>
      </c>
      <c r="K46" s="44"/>
      <c r="L46" s="44">
        <f t="shared" si="3"/>
        <v>5468.1549999999988</v>
      </c>
      <c r="M46" s="44">
        <f t="shared" si="4"/>
        <v>4432.3090000000011</v>
      </c>
      <c r="N46" s="44" t="str">
        <f t="shared" si="2"/>
        <v>Cr</v>
      </c>
      <c r="O46" s="44"/>
    </row>
    <row r="47" spans="1:15">
      <c r="A47" s="66" t="s">
        <v>162</v>
      </c>
      <c r="B47" s="68"/>
      <c r="C47" s="68"/>
      <c r="D47" s="68"/>
      <c r="E47" s="68">
        <f t="shared" si="0"/>
        <v>0</v>
      </c>
      <c r="F47" s="68">
        <f t="shared" si="1"/>
        <v>0</v>
      </c>
      <c r="G47" s="68" t="s">
        <v>155</v>
      </c>
      <c r="H47" s="20"/>
      <c r="I47" s="20"/>
      <c r="J47" s="62" t="s">
        <v>162</v>
      </c>
      <c r="K47" s="44"/>
      <c r="L47" s="44">
        <f t="shared" si="3"/>
        <v>5468.1549999999988</v>
      </c>
      <c r="M47" s="44">
        <f t="shared" si="4"/>
        <v>4432.3090000000011</v>
      </c>
      <c r="N47" s="44" t="str">
        <f t="shared" si="2"/>
        <v>Cr</v>
      </c>
      <c r="O47" s="44"/>
    </row>
    <row r="48" spans="1:15">
      <c r="A48" s="62" t="s">
        <v>163</v>
      </c>
      <c r="B48" s="93">
        <v>4.0999999999999996</v>
      </c>
      <c r="C48" s="93">
        <v>9</v>
      </c>
      <c r="D48" s="93">
        <v>2.8</v>
      </c>
      <c r="E48" s="24">
        <f t="shared" si="0"/>
        <v>62.65</v>
      </c>
      <c r="F48" s="93">
        <f t="shared" si="1"/>
        <v>175.42</v>
      </c>
      <c r="G48" s="93" t="s">
        <v>120</v>
      </c>
      <c r="J48" s="62" t="s">
        <v>163</v>
      </c>
      <c r="K48" s="44"/>
      <c r="L48" s="44">
        <f t="shared" si="3"/>
        <v>5643.5749999999989</v>
      </c>
      <c r="M48" s="44">
        <f t="shared" si="4"/>
        <v>4607.7290000000012</v>
      </c>
      <c r="N48" s="44" t="str">
        <f t="shared" si="2"/>
        <v>Cr</v>
      </c>
      <c r="O48" s="44"/>
    </row>
    <row r="49" spans="1:15">
      <c r="A49" s="62" t="s">
        <v>164</v>
      </c>
      <c r="B49" s="93">
        <v>4.0999999999999996</v>
      </c>
      <c r="C49" s="93">
        <v>5.5</v>
      </c>
      <c r="D49" s="93">
        <v>2.6</v>
      </c>
      <c r="E49" s="24">
        <f t="shared" si="0"/>
        <v>48.65</v>
      </c>
      <c r="F49" s="93">
        <f t="shared" si="1"/>
        <v>126.49</v>
      </c>
      <c r="G49" s="93" t="s">
        <v>120</v>
      </c>
      <c r="J49" s="62" t="s">
        <v>164</v>
      </c>
      <c r="K49" s="44">
        <v>4730</v>
      </c>
      <c r="L49" s="44">
        <f t="shared" si="3"/>
        <v>5770.0649999999987</v>
      </c>
      <c r="M49" s="44">
        <f t="shared" si="4"/>
        <v>4.2190000000009604</v>
      </c>
      <c r="N49" s="44" t="str">
        <f t="shared" si="2"/>
        <v>Cr</v>
      </c>
      <c r="O49" s="44"/>
    </row>
    <row r="50" spans="1:15">
      <c r="A50" s="62" t="s">
        <v>165</v>
      </c>
      <c r="B50" s="93">
        <v>4.2</v>
      </c>
      <c r="C50" s="93">
        <v>6.6</v>
      </c>
      <c r="D50" s="93">
        <v>2.6</v>
      </c>
      <c r="E50" s="24">
        <f t="shared" si="0"/>
        <v>53.7</v>
      </c>
      <c r="F50" s="93">
        <f t="shared" si="1"/>
        <v>139.62</v>
      </c>
      <c r="G50" s="93" t="s">
        <v>120</v>
      </c>
      <c r="J50" s="62" t="s">
        <v>165</v>
      </c>
      <c r="K50" s="44"/>
      <c r="L50" s="44">
        <f t="shared" si="3"/>
        <v>5909.6849999999986</v>
      </c>
      <c r="M50" s="44">
        <f t="shared" si="4"/>
        <v>143.83900000000096</v>
      </c>
      <c r="N50" s="44" t="str">
        <f t="shared" si="2"/>
        <v>Cr</v>
      </c>
      <c r="O50" s="44"/>
    </row>
    <row r="51" spans="1:15">
      <c r="A51" s="62" t="s">
        <v>166</v>
      </c>
      <c r="B51" s="93">
        <v>3.5</v>
      </c>
      <c r="C51" s="93">
        <v>5.5</v>
      </c>
      <c r="D51" s="93">
        <v>2.7</v>
      </c>
      <c r="E51" s="24">
        <f t="shared" si="0"/>
        <v>44.75</v>
      </c>
      <c r="F51" s="93">
        <f t="shared" si="1"/>
        <v>120.825</v>
      </c>
      <c r="G51" s="93" t="s">
        <v>120</v>
      </c>
      <c r="J51" s="62" t="s">
        <v>166</v>
      </c>
      <c r="K51" s="44"/>
      <c r="L51" s="44">
        <f t="shared" si="3"/>
        <v>6030.5099999999984</v>
      </c>
      <c r="M51" s="44">
        <f t="shared" si="4"/>
        <v>264.66400000000095</v>
      </c>
      <c r="N51" s="44" t="str">
        <f t="shared" si="2"/>
        <v>Cr</v>
      </c>
      <c r="O51" s="44"/>
    </row>
    <row r="52" spans="1:15">
      <c r="A52" s="62" t="s">
        <v>167</v>
      </c>
      <c r="B52" s="93">
        <v>3.9</v>
      </c>
      <c r="C52" s="93">
        <v>5.6</v>
      </c>
      <c r="D52" s="93">
        <v>2.8</v>
      </c>
      <c r="E52" s="24">
        <f t="shared" si="0"/>
        <v>47.75</v>
      </c>
      <c r="F52" s="93">
        <f t="shared" si="1"/>
        <v>133.69999999999999</v>
      </c>
      <c r="G52" s="93" t="s">
        <v>120</v>
      </c>
      <c r="J52" s="62" t="s">
        <v>167</v>
      </c>
      <c r="K52" s="44"/>
      <c r="L52" s="44">
        <f t="shared" si="3"/>
        <v>6164.2099999999982</v>
      </c>
      <c r="M52" s="44">
        <f t="shared" si="4"/>
        <v>398.36400000000094</v>
      </c>
      <c r="N52" s="44" t="str">
        <f t="shared" si="2"/>
        <v>Cr</v>
      </c>
      <c r="O52" s="44"/>
    </row>
    <row r="53" spans="1:15">
      <c r="A53" s="79" t="s">
        <v>168</v>
      </c>
      <c r="B53" s="99">
        <v>4.2</v>
      </c>
      <c r="C53" s="99">
        <v>8.9</v>
      </c>
      <c r="D53" s="99">
        <v>2.7</v>
      </c>
      <c r="E53" s="80">
        <f t="shared" si="0"/>
        <v>62.900000000000006</v>
      </c>
      <c r="F53" s="93">
        <f t="shared" si="1"/>
        <v>169.83</v>
      </c>
      <c r="G53" s="93" t="s">
        <v>120</v>
      </c>
      <c r="J53" s="79" t="s">
        <v>168</v>
      </c>
      <c r="K53" s="44"/>
      <c r="L53" s="44">
        <f t="shared" si="3"/>
        <v>6334.0399999999981</v>
      </c>
      <c r="M53" s="44">
        <f t="shared" si="4"/>
        <v>568.19400000000098</v>
      </c>
      <c r="N53" s="44" t="str">
        <f t="shared" si="2"/>
        <v>Cr</v>
      </c>
      <c r="O53" s="44"/>
    </row>
    <row r="54" spans="1:15">
      <c r="A54" s="83"/>
      <c r="B54" s="20"/>
      <c r="C54" s="20"/>
      <c r="D54" s="20"/>
      <c r="E54" s="20"/>
    </row>
    <row r="55" spans="1:15">
      <c r="A55" s="83"/>
      <c r="B55" s="20"/>
      <c r="C55" s="20"/>
      <c r="D55" s="20"/>
      <c r="E55" s="20"/>
    </row>
    <row r="56" spans="1:15">
      <c r="A56" s="83"/>
      <c r="B56" s="20"/>
      <c r="C56" s="20"/>
      <c r="D56" s="20"/>
      <c r="E56" s="20"/>
    </row>
    <row r="57" spans="1:15">
      <c r="A57" s="83"/>
      <c r="B57" s="20"/>
      <c r="C57" s="20"/>
      <c r="D57" s="20"/>
      <c r="E57" s="20"/>
    </row>
    <row r="58" spans="1:15">
      <c r="A58" s="83"/>
      <c r="B58" s="20"/>
      <c r="C58" s="20"/>
      <c r="D58" s="20"/>
      <c r="E58" s="20"/>
    </row>
    <row r="59" spans="1:15">
      <c r="A59" s="83"/>
      <c r="B59" s="20"/>
      <c r="C59" s="20"/>
      <c r="D59" s="20"/>
      <c r="E59" s="20"/>
    </row>
    <row r="60" spans="1:15">
      <c r="A60" s="83"/>
      <c r="B60" s="20"/>
      <c r="C60" s="20"/>
      <c r="D60" s="20"/>
      <c r="E60" s="20"/>
    </row>
    <row r="61" spans="1:15">
      <c r="A61" s="83"/>
      <c r="B61" s="20"/>
      <c r="C61" s="20"/>
      <c r="D61" s="20"/>
      <c r="E61" s="20"/>
    </row>
    <row r="62" spans="1:15">
      <c r="A62" s="83"/>
      <c r="B62" s="20"/>
      <c r="C62" s="20"/>
      <c r="D62" s="20"/>
      <c r="E62" s="20"/>
    </row>
    <row r="63" spans="1:15">
      <c r="A63" s="83"/>
      <c r="B63" s="20"/>
      <c r="C63" s="20"/>
      <c r="D63" s="20"/>
      <c r="E63" s="20"/>
    </row>
    <row r="64" spans="1:15">
      <c r="A64" s="83"/>
      <c r="B64" s="20"/>
      <c r="C64" s="20"/>
      <c r="D64" s="20"/>
      <c r="E64" s="20"/>
    </row>
    <row r="65" spans="1:5">
      <c r="A65" s="83"/>
      <c r="B65" s="20"/>
      <c r="C65" s="20"/>
      <c r="D65" s="20"/>
      <c r="E65" s="20"/>
    </row>
    <row r="66" spans="1:5">
      <c r="A66" s="83"/>
      <c r="B66" s="20"/>
      <c r="C66" s="20"/>
      <c r="D66" s="20"/>
      <c r="E66" s="20"/>
    </row>
    <row r="67" spans="1:5">
      <c r="A67" s="83"/>
      <c r="B67" s="20"/>
      <c r="C67" s="20"/>
      <c r="D67" s="20"/>
      <c r="E67" s="20"/>
    </row>
    <row r="68" spans="1:5">
      <c r="A68" s="83"/>
      <c r="B68" s="20"/>
      <c r="C68" s="20"/>
      <c r="D68" s="20"/>
      <c r="E68" s="20"/>
    </row>
  </sheetData>
  <mergeCells count="1">
    <mergeCell ref="B2:G2"/>
  </mergeCells>
  <hyperlinks>
    <hyperlink ref="F5" location="'Customer Index'!A8" display="Customer Code"/>
    <hyperlink ref="G5" location="'Customer Index'!A14" display="Bas07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8"/>
  <sheetViews>
    <sheetView zoomScale="145" zoomScaleNormal="14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9" customWidth="1"/>
    <col min="18" max="18" width="15.44140625" bestFit="1" customWidth="1"/>
    <col min="19" max="19" width="12.8867187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210</v>
      </c>
      <c r="B3" s="51"/>
      <c r="C3" s="51"/>
      <c r="F3" s="52" t="s">
        <v>106</v>
      </c>
      <c r="G3" s="53">
        <v>9809293030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90" t="s">
        <v>39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110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 t="shared" ref="E8:E53" si="0">(B8*6.5+C8*4)</f>
        <v>0</v>
      </c>
      <c r="F8" s="24">
        <f t="shared" ref="F8:F53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IF(M8&lt;-1,"Dr","Cr")</f>
        <v>Cr</v>
      </c>
      <c r="O8" s="44">
        <f>(D8)</f>
        <v>0</v>
      </c>
      <c r="P8" s="44"/>
      <c r="R8" s="44">
        <f>SUM(F8:F68)</f>
        <v>3373.1740999999997</v>
      </c>
      <c r="S8" s="44">
        <f>SUM(K8:K48)</f>
        <v>457.21899999999999</v>
      </c>
      <c r="T8" s="44">
        <f>(R8-S8)</f>
        <v>2915.9550999999997</v>
      </c>
      <c r="U8" s="44">
        <f>SUM(D8:D47)</f>
        <v>44.08</v>
      </c>
      <c r="V8" s="44"/>
    </row>
    <row r="9" spans="1:22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49" si="4">IF(M9&lt;-1,"Dr","Cr")</f>
        <v>Cr</v>
      </c>
      <c r="O9" s="44">
        <f t="shared" ref="O9:O5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>
        <v>5</v>
      </c>
      <c r="C20" s="93">
        <v>8.8000000000000007</v>
      </c>
      <c r="D20" s="93">
        <v>1.4</v>
      </c>
      <c r="E20" s="24">
        <f t="shared" si="0"/>
        <v>67.7</v>
      </c>
      <c r="F20" s="93">
        <f t="shared" si="1"/>
        <v>94.78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94.78</v>
      </c>
      <c r="M20" s="44">
        <f t="shared" si="3"/>
        <v>94.78</v>
      </c>
      <c r="N20" s="44" t="str">
        <f t="shared" si="4"/>
        <v>Cr</v>
      </c>
      <c r="O20" s="44">
        <f t="shared" si="5"/>
        <v>1.4</v>
      </c>
      <c r="P20" s="44"/>
    </row>
    <row r="21" spans="1:22">
      <c r="A21" s="96" t="s">
        <v>134</v>
      </c>
      <c r="B21" s="93">
        <v>4.6399999999999997</v>
      </c>
      <c r="C21" s="93">
        <v>8.98</v>
      </c>
      <c r="D21" s="93">
        <v>1.7</v>
      </c>
      <c r="E21" s="24">
        <f t="shared" si="0"/>
        <v>66.08</v>
      </c>
      <c r="F21" s="93">
        <f t="shared" si="1"/>
        <v>112.336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207.11599999999999</v>
      </c>
      <c r="M21" s="44">
        <f t="shared" si="3"/>
        <v>207.11599999999999</v>
      </c>
      <c r="N21" s="44" t="str">
        <f t="shared" si="4"/>
        <v>Cr</v>
      </c>
      <c r="O21" s="44">
        <f t="shared" si="5"/>
        <v>3.0999999999999996</v>
      </c>
      <c r="P21" s="44"/>
    </row>
    <row r="22" spans="1:22">
      <c r="A22" s="96" t="s">
        <v>135</v>
      </c>
      <c r="B22" s="93">
        <v>5.62</v>
      </c>
      <c r="C22" s="93">
        <v>8.8000000000000007</v>
      </c>
      <c r="D22" s="93">
        <v>1.8</v>
      </c>
      <c r="E22" s="24">
        <f t="shared" si="0"/>
        <v>71.73</v>
      </c>
      <c r="F22" s="93">
        <f t="shared" si="1"/>
        <v>129.114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336.23</v>
      </c>
      <c r="M22" s="44">
        <f t="shared" si="3"/>
        <v>336.23</v>
      </c>
      <c r="N22" s="44" t="str">
        <f>IF(M22&lt;-1,"Dr","Cr")</f>
        <v>Cr</v>
      </c>
      <c r="O22" s="44">
        <f t="shared" si="5"/>
        <v>4.8999999999999995</v>
      </c>
      <c r="P22" s="44"/>
    </row>
    <row r="23" spans="1:22">
      <c r="A23" s="96" t="s">
        <v>136</v>
      </c>
      <c r="B23" s="93">
        <v>5.62</v>
      </c>
      <c r="C23" s="93">
        <v>8.66</v>
      </c>
      <c r="D23" s="93">
        <v>1.7</v>
      </c>
      <c r="E23" s="24">
        <f t="shared" si="0"/>
        <v>71.17</v>
      </c>
      <c r="F23" s="93">
        <f t="shared" si="1"/>
        <v>120.989</v>
      </c>
      <c r="G23" s="93" t="s">
        <v>120</v>
      </c>
      <c r="H23" s="20"/>
      <c r="I23" s="20"/>
      <c r="J23" s="62" t="s">
        <v>136</v>
      </c>
      <c r="K23" s="44">
        <v>457.21899999999999</v>
      </c>
      <c r="L23" s="44">
        <f t="shared" si="2"/>
        <v>457.21900000000005</v>
      </c>
      <c r="M23" s="44">
        <f t="shared" ref="M23:M53" si="6">(M22+F23-K23)</f>
        <v>5.6843418860808015E-14</v>
      </c>
      <c r="N23" s="44" t="str">
        <f>IF(M23&lt;-1,"Dr","Cr")</f>
        <v>Cr</v>
      </c>
      <c r="O23" s="44">
        <f t="shared" si="5"/>
        <v>6.6</v>
      </c>
      <c r="P23" s="44"/>
    </row>
    <row r="24" spans="1:22">
      <c r="A24" s="73" t="s">
        <v>138</v>
      </c>
      <c r="B24" s="75">
        <v>5.69</v>
      </c>
      <c r="C24" s="75">
        <v>8.8000000000000007</v>
      </c>
      <c r="D24" s="75">
        <v>1.8</v>
      </c>
      <c r="E24" s="75">
        <f t="shared" si="0"/>
        <v>72.185000000000002</v>
      </c>
      <c r="F24" s="75">
        <f t="shared" si="1"/>
        <v>129.93300000000002</v>
      </c>
      <c r="G24" s="75" t="s">
        <v>120</v>
      </c>
      <c r="H24" s="20"/>
      <c r="I24" s="20"/>
      <c r="J24" s="97" t="s">
        <v>138</v>
      </c>
      <c r="K24" s="78"/>
      <c r="L24" s="78">
        <f t="shared" si="2"/>
        <v>587.15200000000004</v>
      </c>
      <c r="M24" s="78">
        <f t="shared" si="6"/>
        <v>129.93300000000008</v>
      </c>
      <c r="N24" s="78" t="str">
        <f t="shared" si="4"/>
        <v>Cr</v>
      </c>
      <c r="O24" s="78">
        <f t="shared" si="5"/>
        <v>8.4</v>
      </c>
      <c r="P24" s="78"/>
    </row>
    <row r="25" spans="1:22">
      <c r="A25" s="96" t="s">
        <v>139</v>
      </c>
      <c r="B25" s="93">
        <v>4.7300000000000004</v>
      </c>
      <c r="C25" s="93">
        <v>8</v>
      </c>
      <c r="D25" s="93">
        <v>1.6</v>
      </c>
      <c r="E25" s="24">
        <f t="shared" si="0"/>
        <v>62.745000000000005</v>
      </c>
      <c r="F25" s="93">
        <f t="shared" si="1"/>
        <v>100.39200000000001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687.5440000000001</v>
      </c>
      <c r="M25" s="44">
        <f t="shared" si="6"/>
        <v>230.3250000000001</v>
      </c>
      <c r="N25" s="44" t="str">
        <f t="shared" si="4"/>
        <v>Cr</v>
      </c>
      <c r="O25" s="44">
        <f t="shared" si="5"/>
        <v>10</v>
      </c>
      <c r="P25" s="44"/>
    </row>
    <row r="26" spans="1:22">
      <c r="A26" s="96" t="s">
        <v>140</v>
      </c>
      <c r="B26" s="93">
        <v>5.97</v>
      </c>
      <c r="C26" s="93">
        <v>8</v>
      </c>
      <c r="D26" s="93">
        <v>1.5</v>
      </c>
      <c r="E26" s="24">
        <f t="shared" si="0"/>
        <v>70.805000000000007</v>
      </c>
      <c r="F26" s="93">
        <f t="shared" si="1"/>
        <v>106.20750000000001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793.75150000000008</v>
      </c>
      <c r="M26" s="44">
        <f t="shared" si="6"/>
        <v>336.53250000000014</v>
      </c>
      <c r="N26" s="44" t="str">
        <f t="shared" si="4"/>
        <v>Cr</v>
      </c>
      <c r="O26" s="44">
        <f t="shared" si="5"/>
        <v>11.5</v>
      </c>
      <c r="P26" s="44"/>
    </row>
    <row r="27" spans="1:22">
      <c r="A27" s="96" t="s">
        <v>141</v>
      </c>
      <c r="B27" s="93">
        <v>5.57</v>
      </c>
      <c r="C27" s="93">
        <v>8.34</v>
      </c>
      <c r="D27" s="93">
        <v>1.4</v>
      </c>
      <c r="E27" s="24">
        <f t="shared" si="0"/>
        <v>69.564999999999998</v>
      </c>
      <c r="F27" s="93">
        <f t="shared" si="1"/>
        <v>97.390999999999991</v>
      </c>
      <c r="G27" s="93" t="s">
        <v>155</v>
      </c>
      <c r="H27" s="20"/>
      <c r="I27" s="20"/>
      <c r="J27" s="62" t="s">
        <v>141</v>
      </c>
      <c r="K27" s="44"/>
      <c r="L27" s="44">
        <f t="shared" si="2"/>
        <v>891.14250000000004</v>
      </c>
      <c r="M27" s="44">
        <f t="shared" si="6"/>
        <v>433.9235000000001</v>
      </c>
      <c r="N27" s="44" t="str">
        <f t="shared" si="4"/>
        <v>Cr</v>
      </c>
      <c r="O27" s="44">
        <f t="shared" si="5"/>
        <v>12.9</v>
      </c>
      <c r="P27" s="44"/>
    </row>
    <row r="28" spans="1:22">
      <c r="A28" s="96" t="s">
        <v>142</v>
      </c>
      <c r="B28" s="93">
        <v>5.52</v>
      </c>
      <c r="C28" s="93">
        <v>8.8000000000000007</v>
      </c>
      <c r="D28" s="93">
        <v>1.3</v>
      </c>
      <c r="E28" s="24">
        <f t="shared" si="0"/>
        <v>71.08</v>
      </c>
      <c r="F28" s="93">
        <f t="shared" si="1"/>
        <v>92.403999999999996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983.54650000000004</v>
      </c>
      <c r="M28" s="44">
        <f t="shared" si="6"/>
        <v>526.3275000000001</v>
      </c>
      <c r="N28" s="44" t="str">
        <f t="shared" si="4"/>
        <v>Cr</v>
      </c>
      <c r="O28" s="44">
        <f t="shared" si="5"/>
        <v>14.200000000000001</v>
      </c>
      <c r="P28" s="44"/>
    </row>
    <row r="29" spans="1:22">
      <c r="A29" s="96" t="s">
        <v>143</v>
      </c>
      <c r="B29" s="93">
        <v>5.05</v>
      </c>
      <c r="C29" s="93">
        <v>8.64</v>
      </c>
      <c r="D29" s="93">
        <v>1.6</v>
      </c>
      <c r="E29" s="24">
        <f t="shared" si="0"/>
        <v>67.384999999999991</v>
      </c>
      <c r="F29" s="93">
        <f t="shared" si="1"/>
        <v>107.81599999999999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1091.3625</v>
      </c>
      <c r="M29" s="44">
        <f t="shared" si="6"/>
        <v>634.14350000000013</v>
      </c>
      <c r="N29" s="44" t="str">
        <f t="shared" si="4"/>
        <v>Cr</v>
      </c>
      <c r="O29" s="44">
        <f t="shared" si="5"/>
        <v>15.8</v>
      </c>
      <c r="P29" s="44"/>
    </row>
    <row r="30" spans="1:22">
      <c r="A30" s="96" t="s">
        <v>144</v>
      </c>
      <c r="B30" s="93">
        <v>4.78</v>
      </c>
      <c r="C30" s="93">
        <v>8.68</v>
      </c>
      <c r="D30" s="93">
        <v>1.6</v>
      </c>
      <c r="E30" s="24">
        <f t="shared" si="0"/>
        <v>65.789999999999992</v>
      </c>
      <c r="F30" s="93">
        <f t="shared" si="1"/>
        <v>105.264</v>
      </c>
      <c r="G30" s="93" t="s">
        <v>155</v>
      </c>
      <c r="H30" s="20"/>
      <c r="I30" s="20"/>
      <c r="J30" s="62" t="s">
        <v>144</v>
      </c>
      <c r="K30" s="44"/>
      <c r="L30" s="44">
        <f t="shared" si="2"/>
        <v>1196.6264999999999</v>
      </c>
      <c r="M30" s="44">
        <f t="shared" si="6"/>
        <v>739.40750000000014</v>
      </c>
      <c r="N30" s="44" t="str">
        <f t="shared" si="4"/>
        <v>Cr</v>
      </c>
      <c r="O30" s="44">
        <f t="shared" si="5"/>
        <v>17.400000000000002</v>
      </c>
      <c r="P30" s="44"/>
    </row>
    <row r="31" spans="1:22">
      <c r="A31" s="96" t="s">
        <v>145</v>
      </c>
      <c r="B31" s="93">
        <v>4.6500000000000004</v>
      </c>
      <c r="C31" s="93">
        <v>9.41</v>
      </c>
      <c r="D31" s="93">
        <v>1.6</v>
      </c>
      <c r="E31" s="24">
        <f t="shared" si="0"/>
        <v>67.865000000000009</v>
      </c>
      <c r="F31" s="93">
        <f t="shared" si="1"/>
        <v>108.58400000000002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1305.2104999999999</v>
      </c>
      <c r="M31" s="44">
        <f t="shared" si="6"/>
        <v>847.9915000000002</v>
      </c>
      <c r="N31" s="44" t="str">
        <f t="shared" si="4"/>
        <v>Cr</v>
      </c>
      <c r="O31" s="44">
        <f t="shared" si="5"/>
        <v>19.000000000000004</v>
      </c>
      <c r="P31" s="44"/>
    </row>
    <row r="32" spans="1:22">
      <c r="A32" s="96" t="s">
        <v>146</v>
      </c>
      <c r="B32" s="93">
        <v>5.19</v>
      </c>
      <c r="C32" s="93">
        <v>8.67</v>
      </c>
      <c r="D32" s="93">
        <v>1.7</v>
      </c>
      <c r="E32" s="24">
        <f t="shared" si="0"/>
        <v>68.414999999999992</v>
      </c>
      <c r="F32" s="93">
        <f t="shared" si="1"/>
        <v>116.30549999999998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1421.5159999999998</v>
      </c>
      <c r="M32" s="44">
        <f t="shared" si="6"/>
        <v>964.29700000000014</v>
      </c>
      <c r="N32" s="44" t="str">
        <f t="shared" si="4"/>
        <v>Cr</v>
      </c>
      <c r="O32" s="44">
        <f t="shared" si="5"/>
        <v>20.700000000000003</v>
      </c>
      <c r="P32" s="44"/>
    </row>
    <row r="33" spans="1:16">
      <c r="A33" s="96" t="s">
        <v>147</v>
      </c>
      <c r="B33" s="93"/>
      <c r="C33" s="93"/>
      <c r="D33" s="93"/>
      <c r="E33" s="24">
        <f t="shared" si="0"/>
        <v>0</v>
      </c>
      <c r="F33" s="93">
        <f t="shared" si="1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1421.5159999999998</v>
      </c>
      <c r="M33" s="44">
        <f t="shared" si="6"/>
        <v>964.29700000000014</v>
      </c>
      <c r="N33" s="44" t="str">
        <f t="shared" si="4"/>
        <v>Cr</v>
      </c>
      <c r="O33" s="44">
        <f t="shared" si="5"/>
        <v>20.700000000000003</v>
      </c>
      <c r="P33" s="44"/>
    </row>
    <row r="34" spans="1:16">
      <c r="A34" s="96" t="s">
        <v>148</v>
      </c>
      <c r="B34" s="93">
        <v>5.0199999999999996</v>
      </c>
      <c r="C34" s="93">
        <v>8.36</v>
      </c>
      <c r="D34" s="93">
        <v>1.4</v>
      </c>
      <c r="E34" s="24">
        <f t="shared" si="0"/>
        <v>66.069999999999993</v>
      </c>
      <c r="F34" s="93">
        <f t="shared" si="1"/>
        <v>92.49799999999999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1514.0139999999999</v>
      </c>
      <c r="M34" s="44">
        <f t="shared" si="6"/>
        <v>1056.7950000000001</v>
      </c>
      <c r="N34" s="44" t="str">
        <f t="shared" si="4"/>
        <v>Cr</v>
      </c>
      <c r="O34" s="44">
        <f t="shared" si="5"/>
        <v>22.1</v>
      </c>
      <c r="P34" s="44"/>
    </row>
    <row r="35" spans="1:16">
      <c r="A35" s="96" t="s">
        <v>149</v>
      </c>
      <c r="B35" s="93">
        <v>5.0199999999999996</v>
      </c>
      <c r="C35" s="93">
        <v>8.36</v>
      </c>
      <c r="D35" s="93">
        <v>1.48</v>
      </c>
      <c r="E35" s="24">
        <f t="shared" si="0"/>
        <v>66.069999999999993</v>
      </c>
      <c r="F35" s="93">
        <f t="shared" si="1"/>
        <v>97.783599999999993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1611.7975999999999</v>
      </c>
      <c r="M35" s="44">
        <f t="shared" si="6"/>
        <v>1154.5786000000001</v>
      </c>
      <c r="N35" s="44" t="str">
        <f t="shared" si="4"/>
        <v>Cr</v>
      </c>
      <c r="O35" s="44">
        <f t="shared" si="5"/>
        <v>23.580000000000002</v>
      </c>
      <c r="P35" s="44"/>
    </row>
    <row r="36" spans="1:16">
      <c r="A36" s="96" t="s">
        <v>150</v>
      </c>
      <c r="B36" s="93">
        <v>4.2300000000000004</v>
      </c>
      <c r="C36" s="93">
        <v>8.3800000000000008</v>
      </c>
      <c r="D36" s="93">
        <v>1.6</v>
      </c>
      <c r="E36" s="24">
        <f t="shared" si="0"/>
        <v>61.015000000000008</v>
      </c>
      <c r="F36" s="93">
        <f t="shared" si="1"/>
        <v>97.624000000000024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1709.4215999999999</v>
      </c>
      <c r="M36" s="44">
        <f t="shared" si="6"/>
        <v>1252.2026000000001</v>
      </c>
      <c r="N36" s="44" t="str">
        <f t="shared" si="4"/>
        <v>Cr</v>
      </c>
      <c r="O36" s="44">
        <f t="shared" si="5"/>
        <v>25.180000000000003</v>
      </c>
      <c r="P36" s="44"/>
    </row>
    <row r="37" spans="1:16">
      <c r="A37" s="96" t="s">
        <v>151</v>
      </c>
      <c r="B37" s="93">
        <v>4.13</v>
      </c>
      <c r="C37" s="93">
        <v>8.02</v>
      </c>
      <c r="D37" s="93">
        <v>1.7</v>
      </c>
      <c r="E37" s="24">
        <f t="shared" si="0"/>
        <v>58.924999999999997</v>
      </c>
      <c r="F37" s="93">
        <f t="shared" si="1"/>
        <v>100.1725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1809.5940999999998</v>
      </c>
      <c r="M37" s="44">
        <f t="shared" si="6"/>
        <v>1352.3751</v>
      </c>
      <c r="N37" s="44" t="str">
        <f t="shared" si="4"/>
        <v>Cr</v>
      </c>
      <c r="O37" s="44">
        <f t="shared" si="5"/>
        <v>26.880000000000003</v>
      </c>
      <c r="P37" s="44"/>
    </row>
    <row r="38" spans="1:16">
      <c r="A38" s="96" t="s">
        <v>152</v>
      </c>
      <c r="B38" s="93">
        <v>3.1</v>
      </c>
      <c r="C38" s="93">
        <v>5.8</v>
      </c>
      <c r="D38" s="93">
        <v>2</v>
      </c>
      <c r="E38" s="24">
        <f t="shared" si="0"/>
        <v>43.35</v>
      </c>
      <c r="F38" s="93">
        <f t="shared" si="1"/>
        <v>86.7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1896.2940999999998</v>
      </c>
      <c r="M38" s="44">
        <f t="shared" si="6"/>
        <v>1439.0751</v>
      </c>
      <c r="N38" s="44" t="str">
        <f t="shared" si="4"/>
        <v>Cr</v>
      </c>
      <c r="O38" s="44">
        <f t="shared" si="5"/>
        <v>28.880000000000003</v>
      </c>
      <c r="P38" s="44"/>
    </row>
    <row r="39" spans="1:16">
      <c r="A39" s="96" t="s">
        <v>153</v>
      </c>
      <c r="B39" s="93">
        <v>5.0999999999999996</v>
      </c>
      <c r="C39" s="93">
        <v>8.5</v>
      </c>
      <c r="D39" s="93">
        <v>1.9</v>
      </c>
      <c r="E39" s="24">
        <f t="shared" si="0"/>
        <v>67.150000000000006</v>
      </c>
      <c r="F39" s="93">
        <f t="shared" si="1"/>
        <v>127.58500000000001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2023.8790999999999</v>
      </c>
      <c r="M39" s="44">
        <f t="shared" si="6"/>
        <v>1566.6601000000001</v>
      </c>
      <c r="N39" s="44" t="str">
        <f t="shared" si="4"/>
        <v>Cr</v>
      </c>
      <c r="O39" s="44">
        <f t="shared" si="5"/>
        <v>30.78</v>
      </c>
      <c r="P39" s="44"/>
    </row>
    <row r="40" spans="1:16">
      <c r="A40" s="96" t="s">
        <v>154</v>
      </c>
      <c r="B40" s="93">
        <v>5.3</v>
      </c>
      <c r="C40" s="93">
        <v>8.3000000000000007</v>
      </c>
      <c r="D40" s="93">
        <v>1.9</v>
      </c>
      <c r="E40" s="24">
        <f t="shared" si="0"/>
        <v>67.650000000000006</v>
      </c>
      <c r="F40" s="93">
        <f t="shared" si="1"/>
        <v>128.535</v>
      </c>
      <c r="G40" s="93" t="s">
        <v>120</v>
      </c>
      <c r="H40" s="20"/>
      <c r="I40" s="20"/>
      <c r="J40" s="62" t="s">
        <v>154</v>
      </c>
      <c r="K40" s="44"/>
      <c r="L40" s="86">
        <f t="shared" si="2"/>
        <v>2152.4141</v>
      </c>
      <c r="M40" s="44">
        <f t="shared" si="6"/>
        <v>1695.1951000000001</v>
      </c>
      <c r="N40" s="44" t="str">
        <f t="shared" si="4"/>
        <v>Cr</v>
      </c>
      <c r="O40" s="44">
        <f t="shared" si="5"/>
        <v>32.68</v>
      </c>
      <c r="P40" s="44"/>
    </row>
    <row r="41" spans="1:16">
      <c r="A41" s="96" t="s">
        <v>156</v>
      </c>
      <c r="B41" s="93">
        <v>5.0999999999999996</v>
      </c>
      <c r="C41" s="93">
        <v>8.3000000000000007</v>
      </c>
      <c r="D41" s="93">
        <v>1.5</v>
      </c>
      <c r="E41" s="24">
        <f t="shared" si="0"/>
        <v>66.349999999999994</v>
      </c>
      <c r="F41" s="93">
        <f t="shared" si="1"/>
        <v>99.524999999999991</v>
      </c>
      <c r="G41" s="93"/>
      <c r="H41" s="20"/>
      <c r="I41" s="20"/>
      <c r="J41" s="62" t="s">
        <v>156</v>
      </c>
      <c r="K41" s="155"/>
      <c r="L41" s="86">
        <f t="shared" si="2"/>
        <v>2251.9391000000001</v>
      </c>
      <c r="M41" s="44">
        <f t="shared" si="6"/>
        <v>1794.7201000000002</v>
      </c>
      <c r="N41" s="44" t="str">
        <f t="shared" si="4"/>
        <v>Cr</v>
      </c>
      <c r="O41" s="44">
        <f t="shared" si="5"/>
        <v>34.18</v>
      </c>
      <c r="P41" s="44"/>
    </row>
    <row r="42" spans="1:16">
      <c r="A42" s="96" t="s">
        <v>157</v>
      </c>
      <c r="B42" s="93">
        <v>5.3</v>
      </c>
      <c r="C42" s="93">
        <v>8.5</v>
      </c>
      <c r="D42" s="93">
        <v>2</v>
      </c>
      <c r="E42" s="24">
        <f t="shared" si="0"/>
        <v>68.449999999999989</v>
      </c>
      <c r="F42" s="93">
        <f t="shared" si="1"/>
        <v>136.89999999999998</v>
      </c>
      <c r="G42" s="93"/>
      <c r="H42" s="20"/>
      <c r="I42" s="20"/>
      <c r="J42" s="62" t="s">
        <v>157</v>
      </c>
      <c r="K42" s="155"/>
      <c r="L42" s="86">
        <f t="shared" si="2"/>
        <v>2388.8391000000001</v>
      </c>
      <c r="M42" s="44">
        <f t="shared" si="6"/>
        <v>1931.6201000000001</v>
      </c>
      <c r="N42" s="44" t="str">
        <f t="shared" si="4"/>
        <v>Cr</v>
      </c>
      <c r="O42" s="44">
        <f t="shared" si="5"/>
        <v>36.18</v>
      </c>
      <c r="P42" s="44"/>
    </row>
    <row r="43" spans="1:16">
      <c r="A43" s="96" t="s">
        <v>158</v>
      </c>
      <c r="B43" s="93">
        <v>4.0999999999999996</v>
      </c>
      <c r="C43" s="93">
        <v>5.2</v>
      </c>
      <c r="D43" s="93">
        <v>1.8</v>
      </c>
      <c r="E43" s="24">
        <f t="shared" si="0"/>
        <v>47.45</v>
      </c>
      <c r="F43" s="93">
        <f t="shared" si="1"/>
        <v>85.410000000000011</v>
      </c>
      <c r="G43" s="93"/>
      <c r="H43" s="20"/>
      <c r="I43" s="20"/>
      <c r="J43" s="62" t="s">
        <v>158</v>
      </c>
      <c r="K43" s="44"/>
      <c r="L43" s="86">
        <f t="shared" si="2"/>
        <v>2474.2491</v>
      </c>
      <c r="M43" s="44">
        <f t="shared" si="6"/>
        <v>2017.0301000000002</v>
      </c>
      <c r="N43" s="44" t="str">
        <f t="shared" si="4"/>
        <v>Cr</v>
      </c>
      <c r="O43" s="44">
        <f t="shared" si="5"/>
        <v>37.979999999999997</v>
      </c>
      <c r="P43" s="44"/>
    </row>
    <row r="44" spans="1:16">
      <c r="A44" s="96" t="s">
        <v>159</v>
      </c>
      <c r="B44" s="93">
        <v>5.0999999999999996</v>
      </c>
      <c r="C44" s="93">
        <v>8.5</v>
      </c>
      <c r="D44" s="93">
        <v>2.2000000000000002</v>
      </c>
      <c r="E44" s="24">
        <f t="shared" si="0"/>
        <v>67.150000000000006</v>
      </c>
      <c r="F44" s="93">
        <f t="shared" si="1"/>
        <v>147.73000000000002</v>
      </c>
      <c r="G44" s="93"/>
      <c r="H44" s="20"/>
      <c r="I44" s="20"/>
      <c r="J44" s="62" t="s">
        <v>159</v>
      </c>
      <c r="K44" s="44"/>
      <c r="L44" s="86">
        <f t="shared" si="2"/>
        <v>2621.9791</v>
      </c>
      <c r="M44" s="44">
        <f t="shared" si="6"/>
        <v>2164.7601000000004</v>
      </c>
      <c r="N44" s="44" t="str">
        <f t="shared" si="4"/>
        <v>Cr</v>
      </c>
      <c r="O44" s="44">
        <f t="shared" si="5"/>
        <v>40.18</v>
      </c>
      <c r="P44" s="44"/>
    </row>
    <row r="45" spans="1:16">
      <c r="A45" s="96" t="s">
        <v>160</v>
      </c>
      <c r="B45" s="93">
        <v>4.8</v>
      </c>
      <c r="C45" s="93">
        <v>6.6</v>
      </c>
      <c r="D45" s="93">
        <v>1.8</v>
      </c>
      <c r="E45" s="24">
        <f t="shared" si="0"/>
        <v>57.599999999999994</v>
      </c>
      <c r="F45" s="93">
        <f t="shared" si="1"/>
        <v>103.67999999999999</v>
      </c>
      <c r="G45" s="93"/>
      <c r="H45" s="20"/>
      <c r="I45" s="20"/>
      <c r="J45" s="62" t="s">
        <v>160</v>
      </c>
      <c r="K45" s="44"/>
      <c r="L45" s="86">
        <f t="shared" si="2"/>
        <v>2725.6590999999999</v>
      </c>
      <c r="M45" s="44">
        <f t="shared" si="6"/>
        <v>2268.4401000000003</v>
      </c>
      <c r="N45" s="44" t="str">
        <f t="shared" si="4"/>
        <v>Cr</v>
      </c>
      <c r="O45" s="44">
        <f t="shared" si="5"/>
        <v>41.98</v>
      </c>
      <c r="P45" s="44"/>
    </row>
    <row r="46" spans="1:16">
      <c r="A46" s="96" t="s">
        <v>161</v>
      </c>
      <c r="B46" s="93">
        <v>4</v>
      </c>
      <c r="C46" s="93">
        <v>5.3</v>
      </c>
      <c r="D46" s="93">
        <v>2.1</v>
      </c>
      <c r="E46" s="24">
        <f t="shared" si="0"/>
        <v>47.2</v>
      </c>
      <c r="F46" s="93">
        <f t="shared" si="1"/>
        <v>99.12</v>
      </c>
      <c r="G46" s="93"/>
      <c r="H46" s="20"/>
      <c r="I46" s="20"/>
      <c r="J46" s="62" t="s">
        <v>161</v>
      </c>
      <c r="K46" s="44"/>
      <c r="L46" s="86">
        <f t="shared" si="2"/>
        <v>2824.7790999999997</v>
      </c>
      <c r="M46" s="44">
        <f t="shared" si="6"/>
        <v>2367.5601000000001</v>
      </c>
      <c r="N46" s="44" t="str">
        <f t="shared" si="4"/>
        <v>Cr</v>
      </c>
      <c r="O46" s="44">
        <f t="shared" si="5"/>
        <v>44.08</v>
      </c>
      <c r="P46" s="44"/>
    </row>
    <row r="47" spans="1:16">
      <c r="A47" s="66" t="s">
        <v>162</v>
      </c>
      <c r="B47" s="156"/>
      <c r="C47" s="156"/>
      <c r="D47" s="156"/>
      <c r="E47" s="156">
        <f t="shared" si="0"/>
        <v>0</v>
      </c>
      <c r="F47" s="68">
        <f t="shared" si="1"/>
        <v>0</v>
      </c>
      <c r="G47" s="156" t="s">
        <v>155</v>
      </c>
      <c r="H47" s="20"/>
      <c r="I47" s="20"/>
      <c r="J47" s="79" t="s">
        <v>162</v>
      </c>
      <c r="K47" s="86"/>
      <c r="L47" s="86">
        <f t="shared" si="2"/>
        <v>2824.7790999999997</v>
      </c>
      <c r="M47" s="44">
        <f t="shared" si="6"/>
        <v>2367.5601000000001</v>
      </c>
      <c r="N47" s="44" t="str">
        <f t="shared" si="4"/>
        <v>Cr</v>
      </c>
      <c r="O47" s="44">
        <f t="shared" si="5"/>
        <v>44.08</v>
      </c>
      <c r="P47" s="86"/>
    </row>
    <row r="48" spans="1:16">
      <c r="A48" s="157" t="s">
        <v>163</v>
      </c>
      <c r="B48" s="44">
        <v>4.4000000000000004</v>
      </c>
      <c r="C48" s="44">
        <v>8.6999999999999993</v>
      </c>
      <c r="D48" s="44">
        <v>1.9</v>
      </c>
      <c r="E48" s="44">
        <f t="shared" si="0"/>
        <v>63.4</v>
      </c>
      <c r="F48" s="93">
        <f t="shared" si="1"/>
        <v>120.46</v>
      </c>
      <c r="G48" s="44"/>
      <c r="J48" s="157" t="s">
        <v>163</v>
      </c>
      <c r="K48" s="44"/>
      <c r="L48" s="86">
        <f t="shared" si="2"/>
        <v>2945.2390999999998</v>
      </c>
      <c r="M48" s="44">
        <f t="shared" si="6"/>
        <v>2488.0201000000002</v>
      </c>
      <c r="N48" s="44" t="str">
        <f t="shared" si="4"/>
        <v>Cr</v>
      </c>
      <c r="O48" s="44">
        <f t="shared" si="5"/>
        <v>45.98</v>
      </c>
      <c r="P48" s="44"/>
    </row>
    <row r="49" spans="1:16">
      <c r="A49" s="157" t="s">
        <v>164</v>
      </c>
      <c r="B49" s="44">
        <v>4.9000000000000004</v>
      </c>
      <c r="C49" s="44">
        <v>5.8</v>
      </c>
      <c r="D49" s="44">
        <v>2</v>
      </c>
      <c r="E49" s="44">
        <f t="shared" si="0"/>
        <v>55.05</v>
      </c>
      <c r="F49" s="93">
        <f t="shared" si="1"/>
        <v>110.1</v>
      </c>
      <c r="G49" s="44"/>
      <c r="J49" s="157" t="s">
        <v>164</v>
      </c>
      <c r="K49" s="44">
        <v>1000</v>
      </c>
      <c r="L49" s="86">
        <f t="shared" si="2"/>
        <v>3055.3390999999997</v>
      </c>
      <c r="M49" s="44">
        <f t="shared" si="6"/>
        <v>1598.1201000000001</v>
      </c>
      <c r="N49" s="44" t="str">
        <f t="shared" si="4"/>
        <v>Cr</v>
      </c>
      <c r="O49" s="44">
        <f t="shared" si="5"/>
        <v>47.98</v>
      </c>
      <c r="P49" s="44"/>
    </row>
    <row r="50" spans="1:16">
      <c r="A50" s="158" t="s">
        <v>165</v>
      </c>
      <c r="B50" s="159"/>
      <c r="C50" s="159"/>
      <c r="D50" s="159"/>
      <c r="E50" s="159">
        <f t="shared" si="0"/>
        <v>0</v>
      </c>
      <c r="F50" s="93">
        <f t="shared" si="1"/>
        <v>0</v>
      </c>
      <c r="G50" s="159" t="s">
        <v>155</v>
      </c>
      <c r="J50" s="158" t="s">
        <v>165</v>
      </c>
      <c r="K50" s="44">
        <v>1600</v>
      </c>
      <c r="L50" s="86">
        <f t="shared" si="2"/>
        <v>3055.3390999999997</v>
      </c>
      <c r="M50" s="44">
        <f t="shared" si="6"/>
        <v>-1.8798999999999069</v>
      </c>
      <c r="N50" s="44"/>
      <c r="O50" s="44">
        <f t="shared" si="5"/>
        <v>47.98</v>
      </c>
      <c r="P50" s="44"/>
    </row>
    <row r="51" spans="1:16">
      <c r="A51" s="157" t="s">
        <v>166</v>
      </c>
      <c r="B51" s="44">
        <v>5.7</v>
      </c>
      <c r="C51" s="44">
        <v>5.0999999999999996</v>
      </c>
      <c r="D51" s="44">
        <v>2</v>
      </c>
      <c r="E51" s="44">
        <f t="shared" si="0"/>
        <v>57.45</v>
      </c>
      <c r="F51" s="93">
        <f t="shared" si="1"/>
        <v>114.9</v>
      </c>
      <c r="G51" s="44"/>
      <c r="J51" s="157" t="s">
        <v>166</v>
      </c>
      <c r="K51" s="44"/>
      <c r="L51" s="86">
        <f t="shared" si="2"/>
        <v>3170.2390999999998</v>
      </c>
      <c r="M51" s="44">
        <f t="shared" si="6"/>
        <v>113.0201000000001</v>
      </c>
      <c r="N51" s="44"/>
      <c r="O51" s="44">
        <f t="shared" si="5"/>
        <v>49.98</v>
      </c>
      <c r="P51" s="44"/>
    </row>
    <row r="52" spans="1:16">
      <c r="A52" s="160" t="s">
        <v>167</v>
      </c>
      <c r="B52" s="86">
        <v>6.3</v>
      </c>
      <c r="C52" s="86">
        <v>8.6</v>
      </c>
      <c r="D52" s="86">
        <v>1.5</v>
      </c>
      <c r="E52" s="86">
        <f t="shared" si="0"/>
        <v>75.349999999999994</v>
      </c>
      <c r="F52" s="99">
        <f t="shared" si="1"/>
        <v>113.02499999999999</v>
      </c>
      <c r="G52" s="86"/>
      <c r="J52" s="160" t="s">
        <v>167</v>
      </c>
      <c r="K52" s="86"/>
      <c r="L52" s="86">
        <f t="shared" si="2"/>
        <v>3283.2640999999999</v>
      </c>
      <c r="M52" s="86">
        <f t="shared" si="6"/>
        <v>226.0451000000001</v>
      </c>
      <c r="N52" s="86"/>
      <c r="O52" s="44">
        <f t="shared" si="5"/>
        <v>51.48</v>
      </c>
      <c r="P52" s="86"/>
    </row>
    <row r="53" spans="1:16">
      <c r="A53" s="88" t="s">
        <v>168</v>
      </c>
      <c r="B53" s="87">
        <v>4.3</v>
      </c>
      <c r="C53" s="87">
        <v>5.5</v>
      </c>
      <c r="D53" s="87">
        <v>1.8</v>
      </c>
      <c r="E53" s="87">
        <f t="shared" si="0"/>
        <v>49.95</v>
      </c>
      <c r="F53" s="153">
        <f t="shared" si="1"/>
        <v>89.910000000000011</v>
      </c>
      <c r="G53" s="87"/>
      <c r="J53" s="192" t="s">
        <v>168</v>
      </c>
      <c r="K53" s="24">
        <v>315</v>
      </c>
      <c r="L53" s="24">
        <f t="shared" si="2"/>
        <v>3373.1740999999997</v>
      </c>
      <c r="M53" s="24">
        <f t="shared" si="6"/>
        <v>0.95510000000012951</v>
      </c>
      <c r="N53" s="24"/>
      <c r="O53" s="64">
        <f t="shared" si="5"/>
        <v>53.279999999999994</v>
      </c>
      <c r="P53" s="87"/>
    </row>
    <row r="54" spans="1:16">
      <c r="A54" s="8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</sheetData>
  <mergeCells count="1">
    <mergeCell ref="B2:G2"/>
  </mergeCells>
  <hyperlinks>
    <hyperlink ref="F5" location="'Customer Index'!A8" display="Customer Code"/>
    <hyperlink ref="G5" location="'Customer Index'!A15" display="Bas08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="115" zoomScaleNormal="11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2.8867187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211</v>
      </c>
      <c r="B3" s="51"/>
      <c r="C3" s="51"/>
      <c r="F3" s="52" t="s">
        <v>106</v>
      </c>
      <c r="G3" s="53">
        <v>9809293030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41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68" si="0">(B8*6.5+C8*4)</f>
        <v>0</v>
      </c>
      <c r="F8" s="24">
        <f t="shared" ref="F8:F47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99.356499999999983</v>
      </c>
      <c r="R8" s="44">
        <f>SUM(K8:K48)</f>
        <v>100</v>
      </c>
      <c r="S8" s="44">
        <f>(Q8-R8)</f>
        <v>-0.64350000000001728</v>
      </c>
      <c r="T8" s="44">
        <f>SUM(D8:D47)</f>
        <v>1.7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>
        <v>5.01</v>
      </c>
      <c r="C21" s="93">
        <v>6.47</v>
      </c>
      <c r="D21" s="93">
        <v>1.7</v>
      </c>
      <c r="E21" s="24">
        <f t="shared" si="0"/>
        <v>58.444999999999993</v>
      </c>
      <c r="F21" s="93">
        <f t="shared" si="1"/>
        <v>99.356499999999983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99.356499999999983</v>
      </c>
      <c r="M21" s="44">
        <f t="shared" si="3"/>
        <v>99.356499999999983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0"/>
        <v>0</v>
      </c>
      <c r="F22" s="93">
        <f t="shared" si="1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99.356499999999983</v>
      </c>
      <c r="M22" s="44">
        <f t="shared" si="3"/>
        <v>99.356499999999983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/>
      <c r="F23" s="93">
        <f t="shared" si="1"/>
        <v>0</v>
      </c>
      <c r="G23" s="93" t="s">
        <v>120</v>
      </c>
      <c r="H23" s="20"/>
      <c r="I23" s="20"/>
      <c r="J23" s="62" t="s">
        <v>136</v>
      </c>
      <c r="K23" s="44">
        <v>100</v>
      </c>
      <c r="L23" s="44">
        <f t="shared" si="2"/>
        <v>99.356499999999983</v>
      </c>
      <c r="M23" s="44">
        <f t="shared" ref="M23" si="5">(M22+F23-K23)</f>
        <v>-0.64350000000001728</v>
      </c>
      <c r="N23" s="44" t="str">
        <f t="shared" si="4"/>
        <v>Dr</v>
      </c>
      <c r="O23" s="44"/>
    </row>
    <row r="24" spans="1:21">
      <c r="A24" s="73" t="s">
        <v>138</v>
      </c>
      <c r="B24" s="75"/>
      <c r="C24" s="75"/>
      <c r="D24" s="75"/>
      <c r="E24" s="75"/>
      <c r="F24" s="75">
        <f t="shared" si="1"/>
        <v>0</v>
      </c>
      <c r="G24" s="75" t="s">
        <v>120</v>
      </c>
      <c r="H24" s="20"/>
      <c r="I24" s="20"/>
      <c r="J24" s="97" t="s">
        <v>138</v>
      </c>
      <c r="K24" s="78"/>
      <c r="L24" s="78"/>
      <c r="M24" s="78"/>
      <c r="N24" s="78"/>
      <c r="O24" s="78"/>
    </row>
    <row r="25" spans="1:21">
      <c r="A25" s="96" t="s">
        <v>139</v>
      </c>
      <c r="B25" s="93"/>
      <c r="C25" s="93"/>
      <c r="D25" s="93"/>
      <c r="E25" s="24"/>
      <c r="F25" s="93">
        <f t="shared" si="1"/>
        <v>0</v>
      </c>
      <c r="G25" s="93" t="s">
        <v>120</v>
      </c>
      <c r="H25" s="20"/>
      <c r="I25" s="20"/>
      <c r="J25" s="62" t="s">
        <v>139</v>
      </c>
      <c r="K25" s="44"/>
      <c r="L25" s="44"/>
      <c r="M25" s="44"/>
      <c r="N25" s="44"/>
      <c r="O25" s="44"/>
    </row>
    <row r="26" spans="1:21">
      <c r="A26" s="96" t="s">
        <v>140</v>
      </c>
      <c r="B26" s="93"/>
      <c r="C26" s="93"/>
      <c r="D26" s="93"/>
      <c r="E26" s="24"/>
      <c r="F26" s="93">
        <f t="shared" si="1"/>
        <v>0</v>
      </c>
      <c r="G26" s="93" t="s">
        <v>120</v>
      </c>
      <c r="H26" s="20"/>
      <c r="I26" s="20"/>
      <c r="J26" s="62" t="s">
        <v>140</v>
      </c>
      <c r="K26" s="44"/>
      <c r="L26" s="44"/>
      <c r="M26" s="44"/>
      <c r="N26" s="44"/>
      <c r="O26" s="44"/>
    </row>
    <row r="27" spans="1:21">
      <c r="A27" s="96" t="s">
        <v>141</v>
      </c>
      <c r="B27" s="93"/>
      <c r="C27" s="93"/>
      <c r="D27" s="93"/>
      <c r="E27" s="24"/>
      <c r="F27" s="93">
        <f t="shared" si="1"/>
        <v>0</v>
      </c>
      <c r="G27" s="93" t="s">
        <v>155</v>
      </c>
      <c r="H27" s="20"/>
      <c r="I27" s="20"/>
      <c r="J27" s="62" t="s">
        <v>141</v>
      </c>
      <c r="K27" s="44"/>
      <c r="L27" s="44"/>
      <c r="M27" s="44"/>
      <c r="N27" s="44"/>
      <c r="O27" s="44"/>
    </row>
    <row r="28" spans="1:21">
      <c r="A28" s="96" t="s">
        <v>142</v>
      </c>
      <c r="B28" s="93"/>
      <c r="C28" s="93"/>
      <c r="D28" s="93"/>
      <c r="E28" s="24"/>
      <c r="F28" s="93">
        <f t="shared" si="1"/>
        <v>0</v>
      </c>
      <c r="G28" s="93" t="s">
        <v>120</v>
      </c>
      <c r="H28" s="20"/>
      <c r="I28" s="20"/>
      <c r="J28" s="62" t="s">
        <v>142</v>
      </c>
      <c r="K28" s="44"/>
      <c r="L28" s="44"/>
      <c r="M28" s="44"/>
      <c r="N28" s="44"/>
      <c r="O28" s="44"/>
    </row>
    <row r="29" spans="1:21">
      <c r="A29" s="96" t="s">
        <v>143</v>
      </c>
      <c r="B29" s="93"/>
      <c r="C29" s="93"/>
      <c r="D29" s="93"/>
      <c r="E29" s="24"/>
      <c r="F29" s="93">
        <f t="shared" si="1"/>
        <v>0</v>
      </c>
      <c r="G29" s="93" t="s">
        <v>120</v>
      </c>
      <c r="H29" s="20"/>
      <c r="I29" s="20"/>
      <c r="J29" s="62" t="s">
        <v>143</v>
      </c>
      <c r="K29" s="44"/>
      <c r="L29" s="44"/>
      <c r="M29" s="44"/>
      <c r="N29" s="44"/>
      <c r="O29" s="44"/>
    </row>
    <row r="30" spans="1:21">
      <c r="A30" s="96" t="s">
        <v>144</v>
      </c>
      <c r="B30" s="93"/>
      <c r="C30" s="93"/>
      <c r="D30" s="93"/>
      <c r="E30" s="24"/>
      <c r="F30" s="93">
        <f t="shared" si="1"/>
        <v>0</v>
      </c>
      <c r="G30" s="93" t="s">
        <v>155</v>
      </c>
      <c r="H30" s="20"/>
      <c r="I30" s="20"/>
      <c r="J30" s="62" t="s">
        <v>144</v>
      </c>
      <c r="K30" s="44"/>
      <c r="L30" s="44"/>
      <c r="M30" s="44"/>
      <c r="N30" s="44"/>
      <c r="O30" s="44"/>
    </row>
    <row r="31" spans="1:21">
      <c r="A31" s="96" t="s">
        <v>145</v>
      </c>
      <c r="B31" s="93"/>
      <c r="C31" s="93"/>
      <c r="D31" s="93"/>
      <c r="E31" s="24"/>
      <c r="F31" s="93">
        <f t="shared" si="1"/>
        <v>0</v>
      </c>
      <c r="G31" s="93" t="s">
        <v>120</v>
      </c>
      <c r="H31" s="20"/>
      <c r="I31" s="20"/>
      <c r="J31" s="62" t="s">
        <v>145</v>
      </c>
      <c r="K31" s="44"/>
      <c r="L31" s="44"/>
      <c r="M31" s="44"/>
      <c r="N31" s="44"/>
      <c r="O31" s="44"/>
    </row>
    <row r="32" spans="1:21">
      <c r="A32" s="96" t="s">
        <v>146</v>
      </c>
      <c r="B32" s="93"/>
      <c r="C32" s="93"/>
      <c r="D32" s="93"/>
      <c r="E32" s="24"/>
      <c r="F32" s="93">
        <f t="shared" si="1"/>
        <v>0</v>
      </c>
      <c r="G32" s="93" t="s">
        <v>120</v>
      </c>
      <c r="H32" s="20"/>
      <c r="I32" s="20"/>
      <c r="J32" s="62" t="s">
        <v>146</v>
      </c>
      <c r="K32" s="44"/>
      <c r="L32" s="44"/>
      <c r="M32" s="44"/>
      <c r="N32" s="44"/>
      <c r="O32" s="44"/>
    </row>
    <row r="33" spans="1:15">
      <c r="A33" s="96" t="s">
        <v>147</v>
      </c>
      <c r="B33" s="93"/>
      <c r="C33" s="93"/>
      <c r="D33" s="93"/>
      <c r="E33" s="24"/>
      <c r="F33" s="93">
        <f t="shared" si="1"/>
        <v>0</v>
      </c>
      <c r="G33" s="93" t="s">
        <v>155</v>
      </c>
      <c r="H33" s="20"/>
      <c r="I33" s="20"/>
      <c r="J33" s="62" t="s">
        <v>147</v>
      </c>
      <c r="K33" s="44"/>
      <c r="L33" s="44"/>
      <c r="M33" s="44"/>
      <c r="N33" s="44"/>
      <c r="O33" s="44"/>
    </row>
    <row r="34" spans="1:15">
      <c r="A34" s="96" t="s">
        <v>148</v>
      </c>
      <c r="B34" s="93"/>
      <c r="C34" s="93"/>
      <c r="D34" s="93"/>
      <c r="E34" s="24"/>
      <c r="F34" s="93">
        <f t="shared" si="1"/>
        <v>0</v>
      </c>
      <c r="G34" s="93" t="s">
        <v>120</v>
      </c>
      <c r="H34" s="20"/>
      <c r="I34" s="20"/>
      <c r="J34" s="62" t="s">
        <v>148</v>
      </c>
      <c r="K34" s="44"/>
      <c r="L34" s="44"/>
      <c r="M34" s="44"/>
      <c r="N34" s="44"/>
      <c r="O34" s="44"/>
    </row>
    <row r="35" spans="1:15">
      <c r="A35" s="96" t="s">
        <v>149</v>
      </c>
      <c r="B35" s="93"/>
      <c r="C35" s="93"/>
      <c r="D35" s="93"/>
      <c r="E35" s="24"/>
      <c r="F35" s="93">
        <f t="shared" si="1"/>
        <v>0</v>
      </c>
      <c r="G35" s="93" t="s">
        <v>120</v>
      </c>
      <c r="H35" s="20"/>
      <c r="I35" s="20"/>
      <c r="J35" s="62" t="s">
        <v>149</v>
      </c>
      <c r="K35" s="44"/>
      <c r="L35" s="44"/>
      <c r="M35" s="44"/>
      <c r="N35" s="44"/>
      <c r="O35" s="44"/>
    </row>
    <row r="36" spans="1:15">
      <c r="A36" s="96" t="s">
        <v>150</v>
      </c>
      <c r="B36" s="93"/>
      <c r="C36" s="93"/>
      <c r="D36" s="93"/>
      <c r="E36" s="24"/>
      <c r="F36" s="93">
        <f t="shared" si="1"/>
        <v>0</v>
      </c>
      <c r="G36" s="93" t="s">
        <v>120</v>
      </c>
      <c r="H36" s="20"/>
      <c r="I36" s="20"/>
      <c r="J36" s="62" t="s">
        <v>150</v>
      </c>
      <c r="K36" s="44"/>
      <c r="L36" s="44"/>
      <c r="M36" s="44"/>
      <c r="N36" s="44"/>
      <c r="O36" s="44"/>
    </row>
    <row r="37" spans="1:15">
      <c r="A37" s="96" t="s">
        <v>151</v>
      </c>
      <c r="B37" s="93"/>
      <c r="C37" s="93"/>
      <c r="D37" s="93"/>
      <c r="E37" s="24"/>
      <c r="F37" s="93">
        <f t="shared" si="1"/>
        <v>0</v>
      </c>
      <c r="G37" s="93" t="s">
        <v>120</v>
      </c>
      <c r="H37" s="20"/>
      <c r="I37" s="20"/>
      <c r="J37" s="62" t="s">
        <v>151</v>
      </c>
      <c r="K37" s="44"/>
      <c r="L37" s="44"/>
      <c r="M37" s="44"/>
      <c r="N37" s="44"/>
      <c r="O37" s="44"/>
    </row>
    <row r="38" spans="1:15">
      <c r="A38" s="96" t="s">
        <v>152</v>
      </c>
      <c r="B38" s="93"/>
      <c r="C38" s="93"/>
      <c r="D38" s="93"/>
      <c r="E38" s="24"/>
      <c r="F38" s="93">
        <f t="shared" si="1"/>
        <v>0</v>
      </c>
      <c r="G38" s="93" t="s">
        <v>120</v>
      </c>
      <c r="H38" s="20"/>
      <c r="I38" s="20"/>
      <c r="J38" s="62" t="s">
        <v>152</v>
      </c>
      <c r="K38" s="44"/>
      <c r="L38" s="44"/>
      <c r="M38" s="44"/>
      <c r="N38" s="44"/>
      <c r="O38" s="44"/>
    </row>
    <row r="39" spans="1:15">
      <c r="A39" s="96" t="s">
        <v>153</v>
      </c>
      <c r="B39" s="93"/>
      <c r="C39" s="93"/>
      <c r="D39" s="93"/>
      <c r="E39" s="24"/>
      <c r="F39" s="93">
        <f t="shared" si="1"/>
        <v>0</v>
      </c>
      <c r="G39" s="93" t="s">
        <v>120</v>
      </c>
      <c r="H39" s="20"/>
      <c r="I39" s="20"/>
      <c r="J39" s="62" t="s">
        <v>153</v>
      </c>
      <c r="K39" s="44"/>
      <c r="L39" s="44"/>
      <c r="M39" s="44"/>
      <c r="N39" s="44"/>
      <c r="O39" s="44"/>
    </row>
    <row r="40" spans="1:15">
      <c r="A40" s="96" t="s">
        <v>154</v>
      </c>
      <c r="B40" s="93"/>
      <c r="C40" s="93"/>
      <c r="D40" s="93"/>
      <c r="E40" s="24"/>
      <c r="F40" s="93">
        <f t="shared" si="1"/>
        <v>0</v>
      </c>
      <c r="G40" s="93" t="s">
        <v>120</v>
      </c>
      <c r="H40" s="20"/>
      <c r="I40" s="20"/>
      <c r="J40" s="62" t="s">
        <v>154</v>
      </c>
      <c r="K40" s="44"/>
      <c r="L40" s="86"/>
      <c r="M40" s="44"/>
      <c r="N40" s="44"/>
      <c r="O40" s="44"/>
    </row>
    <row r="41" spans="1:15">
      <c r="A41" s="96" t="s">
        <v>156</v>
      </c>
      <c r="B41" s="93"/>
      <c r="C41" s="93"/>
      <c r="D41" s="93"/>
      <c r="E41" s="24"/>
      <c r="F41" s="93">
        <f t="shared" si="1"/>
        <v>0</v>
      </c>
      <c r="G41" s="93"/>
      <c r="H41" s="20"/>
      <c r="I41" s="20"/>
      <c r="J41" s="62" t="s">
        <v>156</v>
      </c>
      <c r="K41" s="155"/>
      <c r="L41" s="44"/>
      <c r="M41" s="64"/>
      <c r="N41" s="44"/>
      <c r="O41" s="44"/>
    </row>
    <row r="42" spans="1:15">
      <c r="A42" s="96" t="s">
        <v>157</v>
      </c>
      <c r="B42" s="93"/>
      <c r="C42" s="93"/>
      <c r="D42" s="93"/>
      <c r="E42" s="24"/>
      <c r="F42" s="93">
        <f t="shared" si="1"/>
        <v>0</v>
      </c>
      <c r="G42" s="93"/>
      <c r="H42" s="20"/>
      <c r="I42" s="20"/>
      <c r="J42" s="62" t="s">
        <v>157</v>
      </c>
      <c r="K42" s="155"/>
      <c r="L42" s="44"/>
      <c r="M42" s="64"/>
      <c r="N42" s="44"/>
      <c r="O42" s="44"/>
    </row>
    <row r="43" spans="1:15">
      <c r="A43" s="96" t="s">
        <v>158</v>
      </c>
      <c r="B43" s="93"/>
      <c r="C43" s="93"/>
      <c r="D43" s="93"/>
      <c r="E43" s="24">
        <f t="shared" si="0"/>
        <v>0</v>
      </c>
      <c r="F43" s="93">
        <f t="shared" si="1"/>
        <v>0</v>
      </c>
      <c r="G43" s="93"/>
      <c r="H43" s="20"/>
      <c r="I43" s="20"/>
      <c r="J43" s="62" t="s">
        <v>158</v>
      </c>
      <c r="K43" s="44"/>
      <c r="L43" s="161"/>
      <c r="M43" s="44"/>
      <c r="N43" s="44"/>
      <c r="O43" s="44"/>
    </row>
    <row r="44" spans="1:15">
      <c r="A44" s="96" t="s">
        <v>159</v>
      </c>
      <c r="B44" s="93"/>
      <c r="C44" s="93"/>
      <c r="D44" s="93"/>
      <c r="E44" s="24">
        <f t="shared" si="0"/>
        <v>0</v>
      </c>
      <c r="F44" s="93">
        <f t="shared" si="1"/>
        <v>0</v>
      </c>
      <c r="G44" s="93"/>
      <c r="H44" s="20"/>
      <c r="I44" s="20"/>
      <c r="J44" s="62" t="s">
        <v>159</v>
      </c>
      <c r="K44" s="44"/>
      <c r="L44" s="44"/>
      <c r="M44" s="44"/>
      <c r="N44" s="44"/>
      <c r="O44" s="44"/>
    </row>
    <row r="45" spans="1:15">
      <c r="A45" s="96" t="s">
        <v>160</v>
      </c>
      <c r="B45" s="93"/>
      <c r="C45" s="93"/>
      <c r="D45" s="93"/>
      <c r="E45" s="24">
        <f t="shared" si="0"/>
        <v>0</v>
      </c>
      <c r="F45" s="93">
        <f t="shared" si="1"/>
        <v>0</v>
      </c>
      <c r="G45" s="93"/>
      <c r="H45" s="20"/>
      <c r="I45" s="20"/>
      <c r="J45" s="62" t="s">
        <v>160</v>
      </c>
      <c r="K45" s="44"/>
      <c r="L45" s="44"/>
      <c r="M45" s="44"/>
      <c r="N45" s="44"/>
      <c r="O45" s="44"/>
    </row>
    <row r="46" spans="1:15">
      <c r="A46" s="96" t="s">
        <v>161</v>
      </c>
      <c r="B46" s="93"/>
      <c r="C46" s="93"/>
      <c r="D46" s="93"/>
      <c r="E46" s="24">
        <f t="shared" si="0"/>
        <v>0</v>
      </c>
      <c r="F46" s="93">
        <f t="shared" si="1"/>
        <v>0</v>
      </c>
      <c r="G46" s="93"/>
      <c r="H46" s="20"/>
      <c r="I46" s="20"/>
      <c r="J46" s="62" t="s">
        <v>161</v>
      </c>
      <c r="K46" s="44"/>
      <c r="L46" s="44"/>
      <c r="M46" s="44"/>
      <c r="N46" s="44"/>
      <c r="O46" s="44"/>
    </row>
    <row r="47" spans="1:15">
      <c r="A47" s="96" t="s">
        <v>162</v>
      </c>
      <c r="B47" s="99"/>
      <c r="C47" s="99"/>
      <c r="D47" s="99"/>
      <c r="E47" s="80">
        <f t="shared" si="0"/>
        <v>0</v>
      </c>
      <c r="F47" s="99">
        <f t="shared" si="1"/>
        <v>0</v>
      </c>
      <c r="G47" s="99"/>
      <c r="H47" s="20"/>
      <c r="I47" s="20"/>
      <c r="J47" s="79" t="s">
        <v>162</v>
      </c>
      <c r="K47" s="86"/>
      <c r="L47" s="86"/>
      <c r="M47" s="86"/>
      <c r="N47" s="86"/>
      <c r="O47" s="86"/>
    </row>
    <row r="48" spans="1:15">
      <c r="A48" s="157" t="s">
        <v>163</v>
      </c>
      <c r="B48" s="44"/>
      <c r="C48" s="44"/>
      <c r="D48" s="44"/>
      <c r="E48" s="44">
        <f t="shared" si="0"/>
        <v>0</v>
      </c>
      <c r="F48" s="44"/>
      <c r="G48" s="44"/>
      <c r="J48" s="44"/>
      <c r="K48" s="44"/>
      <c r="L48" s="44"/>
      <c r="M48" s="44"/>
      <c r="N48" s="44"/>
      <c r="O48" s="44"/>
    </row>
    <row r="49" spans="1:15">
      <c r="A49" s="157" t="s">
        <v>164</v>
      </c>
      <c r="B49" s="44"/>
      <c r="C49" s="44"/>
      <c r="D49" s="44"/>
      <c r="E49" s="44">
        <f t="shared" si="0"/>
        <v>0</v>
      </c>
      <c r="F49" s="44"/>
      <c r="G49" s="44"/>
      <c r="J49" s="44"/>
      <c r="K49" s="44"/>
      <c r="L49" s="44"/>
      <c r="M49" s="44"/>
      <c r="N49" s="44"/>
      <c r="O49" s="44"/>
    </row>
    <row r="50" spans="1:15">
      <c r="A50" s="157" t="s">
        <v>165</v>
      </c>
      <c r="B50" s="44"/>
      <c r="C50" s="44"/>
      <c r="D50" s="44"/>
      <c r="E50" s="44">
        <f t="shared" si="0"/>
        <v>0</v>
      </c>
      <c r="F50" s="44"/>
      <c r="G50" s="44"/>
      <c r="J50" s="44"/>
      <c r="K50" s="44"/>
      <c r="L50" s="44"/>
      <c r="M50" s="44"/>
      <c r="N50" s="44"/>
      <c r="O50" s="44"/>
    </row>
    <row r="51" spans="1:15">
      <c r="A51" s="157" t="s">
        <v>166</v>
      </c>
      <c r="B51" s="44"/>
      <c r="C51" s="44"/>
      <c r="D51" s="44"/>
      <c r="E51" s="44">
        <f t="shared" si="0"/>
        <v>0</v>
      </c>
      <c r="F51" s="44"/>
      <c r="G51" s="44"/>
      <c r="J51" s="44"/>
      <c r="K51" s="44"/>
      <c r="L51" s="44"/>
      <c r="M51" s="44"/>
      <c r="N51" s="44"/>
      <c r="O51" s="44"/>
    </row>
    <row r="52" spans="1:15">
      <c r="A52" s="157" t="s">
        <v>167</v>
      </c>
      <c r="B52" s="44"/>
      <c r="C52" s="44"/>
      <c r="D52" s="44"/>
      <c r="E52" s="44">
        <f t="shared" si="0"/>
        <v>0</v>
      </c>
      <c r="F52" s="44"/>
      <c r="G52" s="44"/>
      <c r="J52" s="44"/>
      <c r="K52" s="44"/>
      <c r="L52" s="44"/>
      <c r="M52" s="44"/>
      <c r="N52" s="44"/>
      <c r="O52" s="44"/>
    </row>
    <row r="53" spans="1:15">
      <c r="A53" s="157" t="s">
        <v>168</v>
      </c>
      <c r="B53" s="44"/>
      <c r="C53" s="44"/>
      <c r="D53" s="44"/>
      <c r="E53" s="44">
        <f t="shared" si="0"/>
        <v>0</v>
      </c>
      <c r="F53" s="44"/>
      <c r="G53" s="44"/>
      <c r="J53" s="44"/>
      <c r="K53" s="44"/>
      <c r="L53" s="44"/>
      <c r="M53" s="44"/>
      <c r="N53" s="44"/>
      <c r="O53" s="44"/>
    </row>
    <row r="54" spans="1:15">
      <c r="A54" s="157" t="s">
        <v>212</v>
      </c>
      <c r="B54" s="44"/>
      <c r="C54" s="44"/>
      <c r="D54" s="44"/>
      <c r="E54" s="44">
        <f t="shared" si="0"/>
        <v>0</v>
      </c>
      <c r="F54" s="44"/>
      <c r="G54" s="44"/>
      <c r="J54" s="44"/>
      <c r="K54" s="44"/>
      <c r="L54" s="44"/>
      <c r="M54" s="44"/>
      <c r="N54" s="44"/>
      <c r="O54" s="44"/>
    </row>
    <row r="55" spans="1:15">
      <c r="A55" s="157" t="s">
        <v>213</v>
      </c>
      <c r="B55" s="44"/>
      <c r="C55" s="44"/>
      <c r="D55" s="44"/>
      <c r="E55" s="44">
        <f t="shared" si="0"/>
        <v>0</v>
      </c>
      <c r="F55" s="44"/>
      <c r="G55" s="44"/>
      <c r="J55" s="44"/>
      <c r="K55" s="44"/>
      <c r="L55" s="44"/>
      <c r="M55" s="44"/>
      <c r="N55" s="44"/>
      <c r="O55" s="44"/>
    </row>
    <row r="56" spans="1:15">
      <c r="A56" s="157" t="s">
        <v>214</v>
      </c>
      <c r="B56" s="44"/>
      <c r="C56" s="44"/>
      <c r="D56" s="44"/>
      <c r="E56" s="44">
        <f t="shared" si="0"/>
        <v>0</v>
      </c>
      <c r="F56" s="44"/>
      <c r="G56" s="44"/>
      <c r="J56" s="44"/>
      <c r="K56" s="44"/>
      <c r="L56" s="44"/>
      <c r="M56" s="44"/>
      <c r="N56" s="44"/>
      <c r="O56" s="44"/>
    </row>
    <row r="57" spans="1:15">
      <c r="A57" s="157" t="s">
        <v>215</v>
      </c>
      <c r="B57" s="44"/>
      <c r="C57" s="44"/>
      <c r="D57" s="44"/>
      <c r="E57" s="44">
        <f t="shared" si="0"/>
        <v>0</v>
      </c>
      <c r="F57" s="44"/>
      <c r="G57" s="44"/>
      <c r="J57" s="44"/>
      <c r="K57" s="44"/>
      <c r="L57" s="44"/>
      <c r="M57" s="44"/>
      <c r="N57" s="44"/>
      <c r="O57" s="44"/>
    </row>
    <row r="58" spans="1:15">
      <c r="A58" s="157" t="s">
        <v>216</v>
      </c>
      <c r="B58" s="44"/>
      <c r="C58" s="44"/>
      <c r="D58" s="44"/>
      <c r="E58" s="44">
        <f t="shared" si="0"/>
        <v>0</v>
      </c>
      <c r="F58" s="44"/>
      <c r="G58" s="44"/>
      <c r="J58" s="44"/>
      <c r="K58" s="44"/>
      <c r="L58" s="44"/>
      <c r="M58" s="44"/>
      <c r="N58" s="44"/>
      <c r="O58" s="44"/>
    </row>
    <row r="59" spans="1:15">
      <c r="A59" s="157" t="s">
        <v>217</v>
      </c>
      <c r="B59" s="44"/>
      <c r="C59" s="44"/>
      <c r="D59" s="44"/>
      <c r="E59" s="44">
        <f t="shared" si="0"/>
        <v>0</v>
      </c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218</v>
      </c>
      <c r="B60" s="44"/>
      <c r="C60" s="44"/>
      <c r="D60" s="44"/>
      <c r="E60" s="44">
        <f t="shared" si="0"/>
        <v>0</v>
      </c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219</v>
      </c>
      <c r="B61" s="44"/>
      <c r="C61" s="44"/>
      <c r="D61" s="44"/>
      <c r="E61" s="44">
        <f t="shared" si="0"/>
        <v>0</v>
      </c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220</v>
      </c>
      <c r="B62" s="44"/>
      <c r="C62" s="44"/>
      <c r="D62" s="44"/>
      <c r="E62" s="44">
        <f t="shared" si="0"/>
        <v>0</v>
      </c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221</v>
      </c>
      <c r="B63" s="44"/>
      <c r="C63" s="44"/>
      <c r="D63" s="44"/>
      <c r="E63" s="44">
        <f t="shared" si="0"/>
        <v>0</v>
      </c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222</v>
      </c>
      <c r="B64" s="44"/>
      <c r="C64" s="44"/>
      <c r="D64" s="44"/>
      <c r="E64" s="44">
        <f t="shared" si="0"/>
        <v>0</v>
      </c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223</v>
      </c>
      <c r="B65" s="44"/>
      <c r="C65" s="44"/>
      <c r="D65" s="44"/>
      <c r="E65" s="44">
        <f t="shared" si="0"/>
        <v>0</v>
      </c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224</v>
      </c>
      <c r="B66" s="44"/>
      <c r="C66" s="44"/>
      <c r="D66" s="44"/>
      <c r="E66" s="44">
        <f t="shared" si="0"/>
        <v>0</v>
      </c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225</v>
      </c>
      <c r="B67" s="44"/>
      <c r="C67" s="44"/>
      <c r="D67" s="44"/>
      <c r="E67" s="44">
        <f t="shared" si="0"/>
        <v>0</v>
      </c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226</v>
      </c>
      <c r="B68" s="44"/>
      <c r="C68" s="44"/>
      <c r="D68" s="44"/>
      <c r="E68" s="44">
        <f t="shared" si="0"/>
        <v>0</v>
      </c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16" display="Bas09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3"/>
  <sheetViews>
    <sheetView topLeftCell="A5"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8" max="18" width="15.44140625" bestFit="1" customWidth="1"/>
    <col min="19" max="19" width="12.8867187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227</v>
      </c>
      <c r="B3" s="51"/>
      <c r="C3" s="51"/>
      <c r="F3" s="52" t="s">
        <v>106</v>
      </c>
      <c r="G3" s="53" t="s">
        <v>228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90" t="s">
        <v>43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110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 t="shared" ref="E8:E82" si="0">(B8*6.5+C8*4)</f>
        <v>0</v>
      </c>
      <c r="F8" s="24">
        <f t="shared" ref="F8:F24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 t="shared" ref="N8:N24" si="2">IF(M8&lt;-1E-60,"Dr","Cr")</f>
        <v>Cr</v>
      </c>
      <c r="O8" s="44">
        <f>(D8)</f>
        <v>0</v>
      </c>
      <c r="P8" s="44"/>
      <c r="R8" s="44">
        <f>SUM(F8:F70)</f>
        <v>6374.9484999999995</v>
      </c>
      <c r="S8" s="44">
        <f>SUM(K8:K50)</f>
        <v>586.96849999999995</v>
      </c>
      <c r="T8" s="44">
        <f>(R8-S8)</f>
        <v>5787.98</v>
      </c>
      <c r="U8" s="44">
        <f>SUM(D8:D49)</f>
        <v>55.4</v>
      </c>
      <c r="V8" s="44"/>
    </row>
    <row r="9" spans="1:22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4" si="3">(L8+F9)</f>
        <v>0</v>
      </c>
      <c r="M9" s="44">
        <f t="shared" ref="M9:M23" si="4">(M8+F9-K9)</f>
        <v>0</v>
      </c>
      <c r="N9" s="44" t="str">
        <f t="shared" si="2"/>
        <v>Cr</v>
      </c>
      <c r="O9" s="44">
        <f t="shared" ref="O9:O75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3"/>
        <v>0</v>
      </c>
      <c r="M10" s="44">
        <f t="shared" si="4"/>
        <v>0</v>
      </c>
      <c r="N10" s="44" t="str">
        <f t="shared" si="2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3"/>
        <v>0</v>
      </c>
      <c r="M11" s="44">
        <f t="shared" si="4"/>
        <v>0</v>
      </c>
      <c r="N11" s="44" t="str">
        <f t="shared" si="2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96" t="s">
        <v>124</v>
      </c>
      <c r="K12" s="44"/>
      <c r="L12" s="44">
        <f t="shared" si="3"/>
        <v>0</v>
      </c>
      <c r="M12" s="44">
        <f t="shared" si="4"/>
        <v>0</v>
      </c>
      <c r="N12" s="44" t="str">
        <f t="shared" si="2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96" t="s">
        <v>125</v>
      </c>
      <c r="K13" s="44"/>
      <c r="L13" s="44">
        <f t="shared" si="3"/>
        <v>0</v>
      </c>
      <c r="M13" s="44">
        <f t="shared" si="4"/>
        <v>0</v>
      </c>
      <c r="N13" s="44" t="str">
        <f t="shared" si="2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96" t="s">
        <v>126</v>
      </c>
      <c r="K14" s="44"/>
      <c r="L14" s="44">
        <f t="shared" si="3"/>
        <v>0</v>
      </c>
      <c r="M14" s="44">
        <f t="shared" si="4"/>
        <v>0</v>
      </c>
      <c r="N14" s="44" t="str">
        <f t="shared" si="2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96" t="s">
        <v>128</v>
      </c>
      <c r="K15" s="44"/>
      <c r="L15" s="44">
        <f t="shared" si="3"/>
        <v>0</v>
      </c>
      <c r="M15" s="44">
        <f t="shared" si="4"/>
        <v>0</v>
      </c>
      <c r="N15" s="44" t="str">
        <f t="shared" si="2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96" t="s">
        <v>129</v>
      </c>
      <c r="K16" s="44"/>
      <c r="L16" s="44">
        <f t="shared" si="3"/>
        <v>0</v>
      </c>
      <c r="M16" s="44">
        <f t="shared" si="4"/>
        <v>0</v>
      </c>
      <c r="N16" s="44" t="str">
        <f t="shared" si="2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96" t="s">
        <v>130</v>
      </c>
      <c r="K17" s="44"/>
      <c r="L17" s="44">
        <f t="shared" si="3"/>
        <v>0</v>
      </c>
      <c r="M17" s="44">
        <f t="shared" si="4"/>
        <v>0</v>
      </c>
      <c r="N17" s="44" t="str">
        <f t="shared" si="2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96" t="s">
        <v>131</v>
      </c>
      <c r="K18" s="44"/>
      <c r="L18" s="44">
        <f t="shared" si="3"/>
        <v>0</v>
      </c>
      <c r="M18" s="44">
        <f t="shared" si="4"/>
        <v>0</v>
      </c>
      <c r="N18" s="44" t="str">
        <f t="shared" si="2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96" t="s">
        <v>132</v>
      </c>
      <c r="K19" s="44"/>
      <c r="L19" s="44">
        <f t="shared" si="3"/>
        <v>0</v>
      </c>
      <c r="M19" s="44">
        <f t="shared" si="4"/>
        <v>0</v>
      </c>
      <c r="N19" s="44" t="str">
        <f t="shared" si="2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96" t="s">
        <v>133</v>
      </c>
      <c r="K20" s="44"/>
      <c r="L20" s="44">
        <f t="shared" si="3"/>
        <v>0</v>
      </c>
      <c r="M20" s="44">
        <f t="shared" si="4"/>
        <v>0</v>
      </c>
      <c r="N20" s="44" t="str">
        <f t="shared" si="2"/>
        <v>Cr</v>
      </c>
      <c r="O20" s="44">
        <f t="shared" si="5"/>
        <v>0</v>
      </c>
      <c r="P20" s="44"/>
    </row>
    <row r="21" spans="1:22">
      <c r="A21" s="96" t="s">
        <v>134</v>
      </c>
      <c r="B21" s="93">
        <v>6.63</v>
      </c>
      <c r="C21" s="93">
        <v>8.32</v>
      </c>
      <c r="D21" s="93">
        <v>2.2000000000000002</v>
      </c>
      <c r="E21" s="24">
        <f t="shared" si="0"/>
        <v>76.375</v>
      </c>
      <c r="F21" s="93">
        <f t="shared" si="1"/>
        <v>168.02500000000001</v>
      </c>
      <c r="G21" s="93" t="s">
        <v>120</v>
      </c>
      <c r="H21" s="20"/>
      <c r="I21" s="20"/>
      <c r="J21" s="96" t="s">
        <v>134</v>
      </c>
      <c r="K21" s="44"/>
      <c r="L21" s="44">
        <f t="shared" si="3"/>
        <v>168.02500000000001</v>
      </c>
      <c r="M21" s="44">
        <f t="shared" si="4"/>
        <v>168.02500000000001</v>
      </c>
      <c r="N21" s="44" t="str">
        <f t="shared" si="2"/>
        <v>Cr</v>
      </c>
      <c r="O21" s="44">
        <f t="shared" si="5"/>
        <v>2.2000000000000002</v>
      </c>
      <c r="P21" s="44"/>
    </row>
    <row r="22" spans="1:22">
      <c r="A22" s="96" t="s">
        <v>135</v>
      </c>
      <c r="B22" s="93">
        <v>4.41</v>
      </c>
      <c r="C22" s="93">
        <v>5.7</v>
      </c>
      <c r="D22" s="93">
        <v>0.7</v>
      </c>
      <c r="E22" s="24">
        <f t="shared" si="0"/>
        <v>51.465000000000003</v>
      </c>
      <c r="F22" s="93">
        <f t="shared" si="1"/>
        <v>36.025500000000001</v>
      </c>
      <c r="G22" s="93" t="s">
        <v>120</v>
      </c>
      <c r="H22" s="20"/>
      <c r="I22" s="20"/>
      <c r="J22" s="96" t="s">
        <v>135</v>
      </c>
      <c r="K22" s="44"/>
      <c r="L22" s="44">
        <f t="shared" si="3"/>
        <v>204.0505</v>
      </c>
      <c r="M22" s="44">
        <f t="shared" si="4"/>
        <v>204.0505</v>
      </c>
      <c r="N22" s="44" t="str">
        <f t="shared" si="2"/>
        <v>Cr</v>
      </c>
      <c r="O22" s="44">
        <f t="shared" si="5"/>
        <v>2.9000000000000004</v>
      </c>
      <c r="P22" s="44"/>
    </row>
    <row r="23" spans="1:22">
      <c r="A23" s="96" t="s">
        <v>135</v>
      </c>
      <c r="B23" s="93">
        <v>6.64</v>
      </c>
      <c r="C23" s="93">
        <v>8.4600000000000009</v>
      </c>
      <c r="D23" s="93">
        <v>1</v>
      </c>
      <c r="E23" s="24">
        <f t="shared" si="0"/>
        <v>77</v>
      </c>
      <c r="F23" s="93">
        <f t="shared" si="1"/>
        <v>77</v>
      </c>
      <c r="G23" s="93" t="s">
        <v>207</v>
      </c>
      <c r="H23" s="20"/>
      <c r="I23" s="20"/>
      <c r="J23" s="96" t="s">
        <v>135</v>
      </c>
      <c r="K23" s="44"/>
      <c r="L23" s="44">
        <f t="shared" si="3"/>
        <v>281.0505</v>
      </c>
      <c r="M23" s="44">
        <f t="shared" si="4"/>
        <v>281.0505</v>
      </c>
      <c r="N23" s="44" t="str">
        <f t="shared" si="2"/>
        <v>Cr</v>
      </c>
      <c r="O23" s="44">
        <f t="shared" si="5"/>
        <v>3.9000000000000004</v>
      </c>
      <c r="P23" s="44"/>
    </row>
    <row r="24" spans="1:22">
      <c r="A24" s="96" t="s">
        <v>136</v>
      </c>
      <c r="B24" s="93">
        <v>6.28</v>
      </c>
      <c r="C24" s="93">
        <v>8.74</v>
      </c>
      <c r="D24" s="93">
        <v>3.1</v>
      </c>
      <c r="E24" s="24">
        <f t="shared" si="0"/>
        <v>75.78</v>
      </c>
      <c r="F24" s="93">
        <f t="shared" si="1"/>
        <v>234.91800000000001</v>
      </c>
      <c r="G24" s="93" t="s">
        <v>120</v>
      </c>
      <c r="H24" s="20"/>
      <c r="I24" s="20"/>
      <c r="J24" s="96" t="s">
        <v>136</v>
      </c>
      <c r="K24" s="44"/>
      <c r="L24" s="44">
        <f t="shared" si="3"/>
        <v>515.96849999999995</v>
      </c>
      <c r="M24" s="44">
        <f>(M23+F24-K24)</f>
        <v>515.96849999999995</v>
      </c>
      <c r="N24" s="44" t="str">
        <f t="shared" si="2"/>
        <v>Cr</v>
      </c>
      <c r="O24" s="44">
        <f t="shared" si="5"/>
        <v>7</v>
      </c>
      <c r="P24" s="44"/>
    </row>
    <row r="25" spans="1:22">
      <c r="A25" s="96" t="s">
        <v>136</v>
      </c>
      <c r="B25" s="93">
        <v>6</v>
      </c>
      <c r="C25" s="93">
        <v>8</v>
      </c>
      <c r="D25" s="93">
        <v>1</v>
      </c>
      <c r="E25" s="24">
        <f t="shared" si="0"/>
        <v>71</v>
      </c>
      <c r="F25" s="93">
        <f t="shared" ref="F25:F32" si="6">(B25*6.5+C25*4)*D25</f>
        <v>71</v>
      </c>
      <c r="G25" s="93" t="s">
        <v>207</v>
      </c>
      <c r="H25" s="20"/>
      <c r="I25" s="20"/>
      <c r="J25" s="96" t="s">
        <v>136</v>
      </c>
      <c r="K25" s="44">
        <v>586.96849999999995</v>
      </c>
      <c r="L25" s="44">
        <f t="shared" ref="L25:L82" si="7">(L24+F25)</f>
        <v>586.96849999999995</v>
      </c>
      <c r="M25" s="44">
        <f t="shared" ref="M25:M82" si="8">(M24+F25-K25)</f>
        <v>0</v>
      </c>
      <c r="N25" s="44" t="str">
        <f t="shared" ref="N25:N82" si="9">IF(M25&lt;-1E-60,"Dr","Cr")</f>
        <v>Cr</v>
      </c>
      <c r="O25" s="44">
        <f t="shared" si="5"/>
        <v>8</v>
      </c>
      <c r="P25" s="44"/>
    </row>
    <row r="26" spans="1:22">
      <c r="A26" s="73" t="s">
        <v>138</v>
      </c>
      <c r="B26" s="75">
        <v>5.94</v>
      </c>
      <c r="C26" s="75">
        <v>8.7200000000000006</v>
      </c>
      <c r="D26" s="75">
        <v>3.4</v>
      </c>
      <c r="E26" s="75">
        <f t="shared" si="0"/>
        <v>73.490000000000009</v>
      </c>
      <c r="F26" s="75">
        <f t="shared" si="6"/>
        <v>249.86600000000001</v>
      </c>
      <c r="G26" s="75" t="s">
        <v>120</v>
      </c>
      <c r="H26" s="20"/>
      <c r="I26" s="20"/>
      <c r="J26" s="73" t="s">
        <v>138</v>
      </c>
      <c r="K26" s="78"/>
      <c r="L26" s="78">
        <f t="shared" si="7"/>
        <v>836.83449999999993</v>
      </c>
      <c r="M26" s="78">
        <f t="shared" si="8"/>
        <v>249.86600000000001</v>
      </c>
      <c r="N26" s="162" t="str">
        <f t="shared" si="9"/>
        <v>Cr</v>
      </c>
      <c r="O26" s="78">
        <f t="shared" si="5"/>
        <v>11.4</v>
      </c>
      <c r="P26" s="163"/>
    </row>
    <row r="27" spans="1:22">
      <c r="A27" s="73" t="s">
        <v>138</v>
      </c>
      <c r="B27" s="75">
        <v>5.5</v>
      </c>
      <c r="C27" s="75">
        <v>8</v>
      </c>
      <c r="D27" s="75">
        <v>1</v>
      </c>
      <c r="E27" s="75">
        <f t="shared" si="0"/>
        <v>67.75</v>
      </c>
      <c r="F27" s="75">
        <f t="shared" si="6"/>
        <v>67.75</v>
      </c>
      <c r="G27" s="75" t="s">
        <v>207</v>
      </c>
      <c r="H27" s="20"/>
      <c r="I27" s="20"/>
      <c r="J27" s="73" t="s">
        <v>138</v>
      </c>
      <c r="K27" s="75"/>
      <c r="L27" s="78">
        <f t="shared" si="7"/>
        <v>904.58449999999993</v>
      </c>
      <c r="M27" s="78">
        <f t="shared" si="8"/>
        <v>317.61599999999999</v>
      </c>
      <c r="N27" s="162" t="str">
        <f t="shared" si="9"/>
        <v>Cr</v>
      </c>
      <c r="O27" s="78">
        <f t="shared" si="5"/>
        <v>12.4</v>
      </c>
      <c r="P27" s="78"/>
      <c r="Q27" s="164"/>
    </row>
    <row r="28" spans="1:22">
      <c r="A28" s="96" t="s">
        <v>139</v>
      </c>
      <c r="B28" s="93">
        <v>6.2</v>
      </c>
      <c r="C28" s="93">
        <v>8</v>
      </c>
      <c r="D28" s="93">
        <v>2</v>
      </c>
      <c r="E28" s="24">
        <f t="shared" si="0"/>
        <v>72.300000000000011</v>
      </c>
      <c r="F28" s="93">
        <f t="shared" si="6"/>
        <v>144.60000000000002</v>
      </c>
      <c r="G28" s="93" t="s">
        <v>120</v>
      </c>
      <c r="H28" s="20"/>
      <c r="I28" s="20"/>
      <c r="J28" s="96" t="s">
        <v>139</v>
      </c>
      <c r="K28" s="44"/>
      <c r="L28" s="44">
        <f t="shared" si="7"/>
        <v>1049.1844999999998</v>
      </c>
      <c r="M28" s="44">
        <f t="shared" si="8"/>
        <v>462.21600000000001</v>
      </c>
      <c r="N28" s="44" t="str">
        <f t="shared" si="9"/>
        <v>Cr</v>
      </c>
      <c r="O28" s="44">
        <f t="shared" si="5"/>
        <v>14.4</v>
      </c>
      <c r="P28" s="161"/>
    </row>
    <row r="29" spans="1:22">
      <c r="A29" s="96" t="s">
        <v>139</v>
      </c>
      <c r="B29" s="93">
        <v>6.2</v>
      </c>
      <c r="C29" s="93">
        <v>8</v>
      </c>
      <c r="D29" s="93">
        <v>1</v>
      </c>
      <c r="E29" s="24">
        <f t="shared" si="0"/>
        <v>72.300000000000011</v>
      </c>
      <c r="F29" s="93">
        <f t="shared" si="6"/>
        <v>72.300000000000011</v>
      </c>
      <c r="G29" s="93" t="s">
        <v>207</v>
      </c>
      <c r="H29" s="20"/>
      <c r="I29" s="20"/>
      <c r="J29" s="96" t="s">
        <v>139</v>
      </c>
      <c r="K29" s="44"/>
      <c r="L29" s="44">
        <f t="shared" si="7"/>
        <v>1121.4844999999998</v>
      </c>
      <c r="M29" s="44">
        <f t="shared" si="8"/>
        <v>534.51600000000008</v>
      </c>
      <c r="N29" s="44" t="str">
        <f t="shared" si="9"/>
        <v>Cr</v>
      </c>
      <c r="O29" s="44">
        <f t="shared" si="5"/>
        <v>15.4</v>
      </c>
      <c r="P29" s="44"/>
    </row>
    <row r="30" spans="1:22">
      <c r="A30" s="96" t="s">
        <v>140</v>
      </c>
      <c r="B30" s="93">
        <v>6.04</v>
      </c>
      <c r="C30" s="93">
        <v>8</v>
      </c>
      <c r="D30" s="93">
        <v>3.8</v>
      </c>
      <c r="E30" s="24">
        <f t="shared" si="0"/>
        <v>71.259999999999991</v>
      </c>
      <c r="F30" s="93">
        <f t="shared" si="6"/>
        <v>270.78799999999995</v>
      </c>
      <c r="G30" s="93" t="s">
        <v>120</v>
      </c>
      <c r="H30" s="20"/>
      <c r="I30" s="20"/>
      <c r="J30" s="96" t="s">
        <v>140</v>
      </c>
      <c r="K30" s="44"/>
      <c r="L30" s="44">
        <f t="shared" si="7"/>
        <v>1392.2724999999998</v>
      </c>
      <c r="M30" s="44">
        <f t="shared" si="8"/>
        <v>805.30400000000009</v>
      </c>
      <c r="N30" s="44" t="str">
        <f t="shared" si="9"/>
        <v>Cr</v>
      </c>
      <c r="O30" s="44">
        <f t="shared" si="5"/>
        <v>19.2</v>
      </c>
      <c r="P30" s="44"/>
    </row>
    <row r="31" spans="1:22">
      <c r="A31" s="96" t="s">
        <v>140</v>
      </c>
      <c r="B31" s="93">
        <v>6.7</v>
      </c>
      <c r="C31" s="93">
        <v>8.5</v>
      </c>
      <c r="D31" s="93">
        <v>1</v>
      </c>
      <c r="E31" s="24">
        <f t="shared" si="0"/>
        <v>77.550000000000011</v>
      </c>
      <c r="F31" s="93">
        <f t="shared" si="6"/>
        <v>77.550000000000011</v>
      </c>
      <c r="G31" s="93" t="s">
        <v>207</v>
      </c>
      <c r="H31" s="20"/>
      <c r="I31" s="20"/>
      <c r="J31" s="96" t="s">
        <v>140</v>
      </c>
      <c r="K31" s="44"/>
      <c r="L31" s="44">
        <f t="shared" si="7"/>
        <v>1469.8224999999998</v>
      </c>
      <c r="M31" s="44">
        <f t="shared" si="8"/>
        <v>882.85400000000004</v>
      </c>
      <c r="N31" s="44" t="str">
        <f t="shared" si="9"/>
        <v>Cr</v>
      </c>
      <c r="O31" s="44">
        <f t="shared" si="5"/>
        <v>20.2</v>
      </c>
      <c r="P31" s="44"/>
    </row>
    <row r="32" spans="1:22">
      <c r="A32" s="96" t="s">
        <v>141</v>
      </c>
      <c r="B32" s="93">
        <v>6.02</v>
      </c>
      <c r="C32" s="93">
        <v>8.4499999999999993</v>
      </c>
      <c r="D32" s="93">
        <v>3.5</v>
      </c>
      <c r="E32" s="24">
        <f t="shared" si="0"/>
        <v>72.929999999999993</v>
      </c>
      <c r="F32" s="93">
        <f t="shared" si="6"/>
        <v>255.25499999999997</v>
      </c>
      <c r="G32" s="93" t="s">
        <v>120</v>
      </c>
      <c r="H32" s="20"/>
      <c r="I32" s="20"/>
      <c r="J32" s="96" t="s">
        <v>141</v>
      </c>
      <c r="K32" s="44"/>
      <c r="L32" s="44">
        <f t="shared" si="7"/>
        <v>1725.0774999999996</v>
      </c>
      <c r="M32" s="44">
        <f>(M31+F32-K32)</f>
        <v>1138.1089999999999</v>
      </c>
      <c r="N32" s="44" t="str">
        <f t="shared" si="9"/>
        <v>Cr</v>
      </c>
      <c r="O32" s="44">
        <f t="shared" si="5"/>
        <v>23.7</v>
      </c>
      <c r="P32" s="44"/>
    </row>
    <row r="33" spans="1:16">
      <c r="A33" s="96" t="s">
        <v>142</v>
      </c>
      <c r="B33" s="93">
        <v>5.26</v>
      </c>
      <c r="C33" s="93">
        <v>8.59</v>
      </c>
      <c r="D33" s="93">
        <v>3.8</v>
      </c>
      <c r="E33" s="24">
        <f t="shared" si="0"/>
        <v>68.55</v>
      </c>
      <c r="F33" s="93">
        <f t="shared" ref="F33:F82" si="10">(B33*6.5+C33*4)*D33</f>
        <v>260.48999999999995</v>
      </c>
      <c r="G33" s="93" t="s">
        <v>120</v>
      </c>
      <c r="H33" s="20"/>
      <c r="I33" s="20"/>
      <c r="J33" s="96" t="s">
        <v>142</v>
      </c>
      <c r="K33" s="44"/>
      <c r="L33" s="44">
        <f t="shared" si="7"/>
        <v>1985.5674999999997</v>
      </c>
      <c r="M33" s="44">
        <f>(M32+F33-K33)</f>
        <v>1398.5989999999999</v>
      </c>
      <c r="N33" s="44" t="str">
        <f t="shared" si="9"/>
        <v>Cr</v>
      </c>
      <c r="O33" s="44">
        <f t="shared" si="5"/>
        <v>27.5</v>
      </c>
      <c r="P33" s="44"/>
    </row>
    <row r="34" spans="1:16">
      <c r="A34" s="96" t="s">
        <v>143</v>
      </c>
      <c r="B34" s="93">
        <v>6.24</v>
      </c>
      <c r="C34" s="93">
        <v>8.48</v>
      </c>
      <c r="D34" s="93">
        <v>4</v>
      </c>
      <c r="E34" s="24">
        <f>(B34*6.5+C34*4)</f>
        <v>74.48</v>
      </c>
      <c r="F34" s="93">
        <f t="shared" si="10"/>
        <v>297.92</v>
      </c>
      <c r="G34" s="93" t="s">
        <v>120</v>
      </c>
      <c r="H34" s="20"/>
      <c r="I34" s="20"/>
      <c r="J34" s="96" t="s">
        <v>143</v>
      </c>
      <c r="K34" s="44"/>
      <c r="L34" s="44">
        <f t="shared" si="7"/>
        <v>2283.4874999999997</v>
      </c>
      <c r="M34" s="44">
        <f>(M33+F34-K34)</f>
        <v>1696.519</v>
      </c>
      <c r="N34" s="44" t="str">
        <f t="shared" si="9"/>
        <v>Cr</v>
      </c>
      <c r="O34" s="44">
        <f t="shared" si="5"/>
        <v>31.5</v>
      </c>
      <c r="P34" s="44"/>
    </row>
    <row r="35" spans="1:16">
      <c r="A35" s="96" t="s">
        <v>143</v>
      </c>
      <c r="B35" s="93">
        <v>6.01</v>
      </c>
      <c r="C35" s="93">
        <v>8.08</v>
      </c>
      <c r="D35" s="93">
        <v>1.6</v>
      </c>
      <c r="E35" s="24">
        <f t="shared" si="0"/>
        <v>71.384999999999991</v>
      </c>
      <c r="F35" s="93">
        <f t="shared" si="10"/>
        <v>114.21599999999999</v>
      </c>
      <c r="G35" s="93" t="s">
        <v>207</v>
      </c>
      <c r="H35" s="20"/>
      <c r="I35" s="20"/>
      <c r="J35" s="96" t="s">
        <v>143</v>
      </c>
      <c r="K35" s="44"/>
      <c r="L35" s="44">
        <f t="shared" si="7"/>
        <v>2397.7034999999996</v>
      </c>
      <c r="M35" s="44">
        <f>(M34+F35-K35)</f>
        <v>1810.7349999999999</v>
      </c>
      <c r="N35" s="44" t="str">
        <f t="shared" si="9"/>
        <v>Cr</v>
      </c>
      <c r="O35" s="44">
        <f t="shared" si="5"/>
        <v>33.1</v>
      </c>
      <c r="P35" s="44"/>
    </row>
    <row r="36" spans="1:16">
      <c r="A36" s="96" t="s">
        <v>144</v>
      </c>
      <c r="B36" s="93">
        <v>6.69</v>
      </c>
      <c r="C36" s="93">
        <v>8.5</v>
      </c>
      <c r="D36" s="93">
        <v>3.1</v>
      </c>
      <c r="E36" s="24">
        <f t="shared" si="0"/>
        <v>77.484999999999999</v>
      </c>
      <c r="F36" s="93">
        <f t="shared" si="10"/>
        <v>240.20349999999999</v>
      </c>
      <c r="G36" s="93" t="s">
        <v>120</v>
      </c>
      <c r="H36" s="20"/>
      <c r="I36" s="20"/>
      <c r="J36" s="96" t="s">
        <v>144</v>
      </c>
      <c r="K36" s="44"/>
      <c r="L36" s="44">
        <f t="shared" si="7"/>
        <v>2637.9069999999997</v>
      </c>
      <c r="M36" s="44">
        <f t="shared" si="8"/>
        <v>2050.9384999999997</v>
      </c>
      <c r="N36" s="44" t="str">
        <f t="shared" si="9"/>
        <v>Cr</v>
      </c>
      <c r="O36" s="44">
        <f t="shared" si="5"/>
        <v>36.200000000000003</v>
      </c>
      <c r="P36" s="44"/>
    </row>
    <row r="37" spans="1:16">
      <c r="A37" s="96" t="s">
        <v>144</v>
      </c>
      <c r="B37" s="93">
        <v>5.9</v>
      </c>
      <c r="C37" s="93">
        <v>7.5</v>
      </c>
      <c r="D37" s="93">
        <v>1</v>
      </c>
      <c r="E37" s="24">
        <f t="shared" si="0"/>
        <v>68.349999999999994</v>
      </c>
      <c r="F37" s="93">
        <f t="shared" si="10"/>
        <v>68.349999999999994</v>
      </c>
      <c r="G37" s="93" t="s">
        <v>207</v>
      </c>
      <c r="H37" s="20"/>
      <c r="I37" s="20"/>
      <c r="J37" s="96" t="s">
        <v>144</v>
      </c>
      <c r="K37" s="44"/>
      <c r="L37" s="44">
        <f t="shared" si="7"/>
        <v>2706.2569999999996</v>
      </c>
      <c r="M37" s="44">
        <f t="shared" si="8"/>
        <v>2119.2884999999997</v>
      </c>
      <c r="N37" s="44" t="str">
        <f t="shared" si="9"/>
        <v>Cr</v>
      </c>
      <c r="O37" s="44">
        <f t="shared" si="5"/>
        <v>37.200000000000003</v>
      </c>
      <c r="P37" s="44"/>
    </row>
    <row r="38" spans="1:16">
      <c r="A38" s="96" t="s">
        <v>145</v>
      </c>
      <c r="B38" s="93">
        <v>5.78</v>
      </c>
      <c r="C38" s="93">
        <v>9</v>
      </c>
      <c r="D38" s="93">
        <v>3.6</v>
      </c>
      <c r="E38" s="24">
        <f t="shared" si="0"/>
        <v>73.569999999999993</v>
      </c>
      <c r="F38" s="93">
        <f t="shared" si="10"/>
        <v>264.85199999999998</v>
      </c>
      <c r="G38" s="93" t="s">
        <v>120</v>
      </c>
      <c r="H38" s="20"/>
      <c r="I38" s="20"/>
      <c r="J38" s="96" t="s">
        <v>145</v>
      </c>
      <c r="K38" s="44"/>
      <c r="L38" s="44">
        <f t="shared" si="7"/>
        <v>2971.1089999999995</v>
      </c>
      <c r="M38" s="44">
        <f t="shared" si="8"/>
        <v>2384.1404999999995</v>
      </c>
      <c r="N38" s="44" t="str">
        <f t="shared" si="9"/>
        <v>Cr</v>
      </c>
      <c r="O38" s="44">
        <f>(O37+D38)</f>
        <v>40.800000000000004</v>
      </c>
      <c r="P38" s="44"/>
    </row>
    <row r="39" spans="1:16">
      <c r="A39" s="96" t="s">
        <v>145</v>
      </c>
      <c r="B39" s="93">
        <v>5.09</v>
      </c>
      <c r="C39" s="93">
        <v>8.08</v>
      </c>
      <c r="D39" s="93">
        <v>1</v>
      </c>
      <c r="E39" s="24">
        <f t="shared" si="0"/>
        <v>65.405000000000001</v>
      </c>
      <c r="F39" s="93">
        <f t="shared" si="10"/>
        <v>65.405000000000001</v>
      </c>
      <c r="G39" s="93" t="s">
        <v>207</v>
      </c>
      <c r="H39" s="20"/>
      <c r="I39" s="20"/>
      <c r="J39" s="96" t="s">
        <v>145</v>
      </c>
      <c r="K39" s="44"/>
      <c r="L39" s="44">
        <f t="shared" si="7"/>
        <v>3036.5139999999997</v>
      </c>
      <c r="M39" s="44">
        <f t="shared" si="8"/>
        <v>2449.5454999999997</v>
      </c>
      <c r="N39" s="44" t="str">
        <f t="shared" si="9"/>
        <v>Cr</v>
      </c>
      <c r="O39" s="44">
        <f>(O38+D39)</f>
        <v>41.800000000000004</v>
      </c>
      <c r="P39" s="44"/>
    </row>
    <row r="40" spans="1:16">
      <c r="A40" s="96" t="s">
        <v>146</v>
      </c>
      <c r="B40" s="93">
        <v>5.24</v>
      </c>
      <c r="C40" s="93">
        <v>6.39</v>
      </c>
      <c r="D40" s="93">
        <v>3.4</v>
      </c>
      <c r="E40" s="24">
        <f t="shared" si="0"/>
        <v>59.620000000000005</v>
      </c>
      <c r="F40" s="93">
        <f t="shared" si="10"/>
        <v>202.708</v>
      </c>
      <c r="G40" s="93" t="s">
        <v>120</v>
      </c>
      <c r="H40" s="20"/>
      <c r="I40" s="20"/>
      <c r="J40" s="96" t="s">
        <v>146</v>
      </c>
      <c r="K40" s="44"/>
      <c r="L40" s="44">
        <f t="shared" si="7"/>
        <v>3239.2219999999998</v>
      </c>
      <c r="M40" s="44">
        <f t="shared" si="8"/>
        <v>2652.2534999999998</v>
      </c>
      <c r="N40" s="44" t="str">
        <f t="shared" si="9"/>
        <v>Cr</v>
      </c>
      <c r="O40" s="44">
        <f t="shared" si="5"/>
        <v>45.2</v>
      </c>
      <c r="P40" s="44"/>
    </row>
    <row r="41" spans="1:16">
      <c r="A41" s="96" t="s">
        <v>146</v>
      </c>
      <c r="B41" s="93">
        <v>5.04</v>
      </c>
      <c r="C41" s="93">
        <v>7.01</v>
      </c>
      <c r="D41" s="93">
        <v>1</v>
      </c>
      <c r="E41" s="24">
        <f t="shared" si="0"/>
        <v>60.8</v>
      </c>
      <c r="F41" s="93">
        <f t="shared" si="10"/>
        <v>60.8</v>
      </c>
      <c r="G41" s="93" t="s">
        <v>207</v>
      </c>
      <c r="H41" s="20"/>
      <c r="I41" s="20"/>
      <c r="J41" s="96" t="s">
        <v>146</v>
      </c>
      <c r="K41" s="44"/>
      <c r="L41" s="44">
        <f t="shared" si="7"/>
        <v>3300.0219999999999</v>
      </c>
      <c r="M41" s="44">
        <f t="shared" si="8"/>
        <v>2713.0535</v>
      </c>
      <c r="N41" s="44" t="str">
        <f t="shared" si="9"/>
        <v>Cr</v>
      </c>
      <c r="O41" s="44">
        <f t="shared" si="5"/>
        <v>46.2</v>
      </c>
      <c r="P41" s="44"/>
    </row>
    <row r="42" spans="1:16">
      <c r="A42" s="96" t="s">
        <v>147</v>
      </c>
      <c r="B42" s="93">
        <v>5.24</v>
      </c>
      <c r="C42" s="93">
        <v>6.99</v>
      </c>
      <c r="D42" s="93">
        <v>3.3</v>
      </c>
      <c r="E42" s="24">
        <f t="shared" si="0"/>
        <v>62.02</v>
      </c>
      <c r="F42" s="93">
        <f t="shared" si="10"/>
        <v>204.666</v>
      </c>
      <c r="G42" s="93" t="s">
        <v>120</v>
      </c>
      <c r="H42" s="20"/>
      <c r="I42" s="20"/>
      <c r="J42" s="96" t="s">
        <v>147</v>
      </c>
      <c r="K42" s="44"/>
      <c r="L42" s="44">
        <f t="shared" si="7"/>
        <v>3504.6880000000001</v>
      </c>
      <c r="M42" s="44">
        <f t="shared" si="8"/>
        <v>2917.7195000000002</v>
      </c>
      <c r="N42" s="44" t="str">
        <f t="shared" si="9"/>
        <v>Cr</v>
      </c>
      <c r="O42" s="44">
        <f t="shared" si="5"/>
        <v>49.5</v>
      </c>
      <c r="P42" s="44"/>
    </row>
    <row r="43" spans="1:16">
      <c r="A43" s="96" t="s">
        <v>147</v>
      </c>
      <c r="B43" s="93">
        <v>5.21</v>
      </c>
      <c r="C43" s="93">
        <v>6.09</v>
      </c>
      <c r="D43" s="93">
        <v>1</v>
      </c>
      <c r="E43" s="24">
        <f t="shared" si="0"/>
        <v>58.225000000000001</v>
      </c>
      <c r="F43" s="93">
        <f t="shared" si="10"/>
        <v>58.225000000000001</v>
      </c>
      <c r="G43" s="93" t="s">
        <v>207</v>
      </c>
      <c r="H43" s="20"/>
      <c r="I43" s="20"/>
      <c r="J43" s="96" t="s">
        <v>147</v>
      </c>
      <c r="K43" s="155"/>
      <c r="L43" s="44">
        <f t="shared" si="7"/>
        <v>3562.913</v>
      </c>
      <c r="M43" s="44">
        <f t="shared" si="8"/>
        <v>2975.9445000000001</v>
      </c>
      <c r="N43" s="44" t="str">
        <f t="shared" si="9"/>
        <v>Cr</v>
      </c>
      <c r="O43" s="44">
        <f t="shared" si="5"/>
        <v>50.5</v>
      </c>
      <c r="P43" s="44"/>
    </row>
    <row r="44" spans="1:16">
      <c r="A44" s="96" t="s">
        <v>148</v>
      </c>
      <c r="B44" s="93">
        <v>5.99</v>
      </c>
      <c r="C44" s="93">
        <v>6.75</v>
      </c>
      <c r="D44" s="93">
        <v>3.6</v>
      </c>
      <c r="E44" s="24">
        <f t="shared" si="0"/>
        <v>65.935000000000002</v>
      </c>
      <c r="F44" s="93">
        <f t="shared" si="10"/>
        <v>237.36600000000001</v>
      </c>
      <c r="G44" s="93" t="s">
        <v>120</v>
      </c>
      <c r="H44" s="20"/>
      <c r="I44" s="20"/>
      <c r="J44" s="96" t="s">
        <v>148</v>
      </c>
      <c r="K44" s="155"/>
      <c r="L44" s="44">
        <f t="shared" si="7"/>
        <v>3800.279</v>
      </c>
      <c r="M44" s="44">
        <f t="shared" si="8"/>
        <v>3213.3105</v>
      </c>
      <c r="N44" s="44" t="str">
        <f t="shared" si="9"/>
        <v>Cr</v>
      </c>
      <c r="O44" s="44">
        <f t="shared" si="5"/>
        <v>54.1</v>
      </c>
      <c r="P44" s="44"/>
    </row>
    <row r="45" spans="1:16">
      <c r="A45" s="66" t="s">
        <v>148</v>
      </c>
      <c r="B45" s="68"/>
      <c r="C45" s="68"/>
      <c r="D45" s="68"/>
      <c r="E45" s="68">
        <f t="shared" si="0"/>
        <v>0</v>
      </c>
      <c r="F45" s="68">
        <f t="shared" si="10"/>
        <v>0</v>
      </c>
      <c r="G45" s="68" t="s">
        <v>155</v>
      </c>
      <c r="H45" s="20"/>
      <c r="I45" s="20"/>
      <c r="J45" s="66" t="s">
        <v>148</v>
      </c>
      <c r="K45" s="44"/>
      <c r="L45" s="44">
        <f t="shared" si="7"/>
        <v>3800.279</v>
      </c>
      <c r="M45" s="44">
        <f t="shared" si="8"/>
        <v>3213.3105</v>
      </c>
      <c r="N45" s="44" t="str">
        <f t="shared" si="9"/>
        <v>Cr</v>
      </c>
      <c r="O45" s="44">
        <f t="shared" si="5"/>
        <v>54.1</v>
      </c>
      <c r="P45" s="44"/>
    </row>
    <row r="46" spans="1:16">
      <c r="A46" s="66" t="s">
        <v>149</v>
      </c>
      <c r="B46" s="68"/>
      <c r="C46" s="68"/>
      <c r="D46" s="68"/>
      <c r="E46" s="68">
        <f t="shared" si="0"/>
        <v>0</v>
      </c>
      <c r="F46" s="68">
        <f t="shared" si="10"/>
        <v>0</v>
      </c>
      <c r="G46" s="68" t="s">
        <v>155</v>
      </c>
      <c r="H46" s="20"/>
      <c r="I46" s="20"/>
      <c r="J46" s="66" t="s">
        <v>149</v>
      </c>
      <c r="K46" s="44"/>
      <c r="L46" s="44">
        <f t="shared" si="7"/>
        <v>3800.279</v>
      </c>
      <c r="M46" s="44">
        <f t="shared" si="8"/>
        <v>3213.3105</v>
      </c>
      <c r="N46" s="44" t="str">
        <f t="shared" si="9"/>
        <v>Cr</v>
      </c>
      <c r="O46" s="44">
        <f t="shared" si="5"/>
        <v>54.1</v>
      </c>
      <c r="P46" s="44"/>
    </row>
    <row r="47" spans="1:16">
      <c r="A47" s="66" t="s">
        <v>149</v>
      </c>
      <c r="B47" s="68"/>
      <c r="C47" s="68"/>
      <c r="D47" s="68"/>
      <c r="E47" s="68">
        <f t="shared" si="0"/>
        <v>0</v>
      </c>
      <c r="F47" s="68">
        <f t="shared" si="10"/>
        <v>0</v>
      </c>
      <c r="G47" s="68" t="s">
        <v>155</v>
      </c>
      <c r="H47" s="20"/>
      <c r="I47" s="20"/>
      <c r="J47" s="66" t="s">
        <v>149</v>
      </c>
      <c r="K47" s="44"/>
      <c r="L47" s="44">
        <f t="shared" si="7"/>
        <v>3800.279</v>
      </c>
      <c r="M47" s="44">
        <f t="shared" si="8"/>
        <v>3213.3105</v>
      </c>
      <c r="N47" s="44" t="str">
        <f t="shared" si="9"/>
        <v>Cr</v>
      </c>
      <c r="O47" s="44">
        <f t="shared" si="5"/>
        <v>54.1</v>
      </c>
      <c r="P47" s="44"/>
    </row>
    <row r="48" spans="1:16">
      <c r="A48" s="96" t="s">
        <v>150</v>
      </c>
      <c r="B48" s="93">
        <v>5.67</v>
      </c>
      <c r="C48" s="93">
        <v>7.53</v>
      </c>
      <c r="D48" s="93">
        <v>1.3</v>
      </c>
      <c r="E48" s="24">
        <f t="shared" si="0"/>
        <v>66.974999999999994</v>
      </c>
      <c r="F48" s="93">
        <f t="shared" si="10"/>
        <v>87.067499999999995</v>
      </c>
      <c r="G48" s="93" t="s">
        <v>120</v>
      </c>
      <c r="H48" s="20"/>
      <c r="I48" s="20"/>
      <c r="J48" s="96" t="s">
        <v>150</v>
      </c>
      <c r="K48" s="44"/>
      <c r="L48" s="44">
        <f t="shared" si="7"/>
        <v>3887.3465000000001</v>
      </c>
      <c r="M48" s="44">
        <f t="shared" si="8"/>
        <v>3300.3780000000002</v>
      </c>
      <c r="N48" s="44" t="str">
        <f t="shared" si="9"/>
        <v>Cr</v>
      </c>
      <c r="O48" s="44">
        <f t="shared" si="5"/>
        <v>55.4</v>
      </c>
      <c r="P48" s="44"/>
    </row>
    <row r="49" spans="1:16">
      <c r="A49" s="66" t="s">
        <v>150</v>
      </c>
      <c r="B49" s="156"/>
      <c r="C49" s="156"/>
      <c r="D49" s="156"/>
      <c r="E49" s="156">
        <f t="shared" si="0"/>
        <v>0</v>
      </c>
      <c r="F49" s="68">
        <f t="shared" si="10"/>
        <v>0</v>
      </c>
      <c r="G49" s="156" t="s">
        <v>155</v>
      </c>
      <c r="H49" s="20"/>
      <c r="I49" s="20"/>
      <c r="J49" s="66" t="s">
        <v>150</v>
      </c>
      <c r="K49" s="86"/>
      <c r="L49" s="44">
        <f t="shared" si="7"/>
        <v>3887.3465000000001</v>
      </c>
      <c r="M49" s="44">
        <f t="shared" si="8"/>
        <v>3300.3780000000002</v>
      </c>
      <c r="N49" s="44" t="str">
        <f t="shared" si="9"/>
        <v>Cr</v>
      </c>
      <c r="O49" s="44">
        <f t="shared" si="5"/>
        <v>55.4</v>
      </c>
      <c r="P49" s="86"/>
    </row>
    <row r="50" spans="1:16">
      <c r="A50" s="157" t="s">
        <v>151</v>
      </c>
      <c r="B50" s="44">
        <v>5.3</v>
      </c>
      <c r="C50" s="44">
        <v>7.1</v>
      </c>
      <c r="D50" s="44">
        <v>3.6</v>
      </c>
      <c r="E50" s="44">
        <f t="shared" si="0"/>
        <v>62.849999999999994</v>
      </c>
      <c r="F50" s="93">
        <f t="shared" si="10"/>
        <v>226.26</v>
      </c>
      <c r="G50" s="44" t="s">
        <v>120</v>
      </c>
      <c r="J50" s="157" t="s">
        <v>151</v>
      </c>
      <c r="K50" s="44"/>
      <c r="L50" s="44">
        <f t="shared" si="7"/>
        <v>4113.6064999999999</v>
      </c>
      <c r="M50" s="44">
        <f t="shared" si="8"/>
        <v>3526.6379999999999</v>
      </c>
      <c r="N50" s="44" t="str">
        <f t="shared" si="9"/>
        <v>Cr</v>
      </c>
      <c r="O50" s="44">
        <f t="shared" si="5"/>
        <v>59</v>
      </c>
      <c r="P50" s="44"/>
    </row>
    <row r="51" spans="1:16">
      <c r="A51" s="157" t="s">
        <v>151</v>
      </c>
      <c r="B51" s="44">
        <v>5.08</v>
      </c>
      <c r="C51" s="44">
        <v>8.0399999999999991</v>
      </c>
      <c r="D51" s="44">
        <v>1</v>
      </c>
      <c r="E51" s="44">
        <f t="shared" si="0"/>
        <v>65.180000000000007</v>
      </c>
      <c r="F51" s="93">
        <f t="shared" si="10"/>
        <v>65.180000000000007</v>
      </c>
      <c r="G51" s="44" t="s">
        <v>207</v>
      </c>
      <c r="J51" s="157" t="s">
        <v>151</v>
      </c>
      <c r="K51" s="44"/>
      <c r="L51" s="44">
        <f t="shared" si="7"/>
        <v>4178.7865000000002</v>
      </c>
      <c r="M51" s="44">
        <f t="shared" si="8"/>
        <v>3591.8179999999998</v>
      </c>
      <c r="N51" s="44" t="str">
        <f t="shared" si="9"/>
        <v>Cr</v>
      </c>
      <c r="O51" s="44">
        <f t="shared" si="5"/>
        <v>60</v>
      </c>
      <c r="P51" s="44"/>
    </row>
    <row r="52" spans="1:16">
      <c r="A52" s="157" t="s">
        <v>152</v>
      </c>
      <c r="B52" s="44">
        <v>4.9000000000000004</v>
      </c>
      <c r="C52" s="44">
        <v>5.7</v>
      </c>
      <c r="D52" s="44">
        <v>1.78</v>
      </c>
      <c r="E52" s="44">
        <f t="shared" si="0"/>
        <v>54.650000000000006</v>
      </c>
      <c r="F52" s="93">
        <f t="shared" si="10"/>
        <v>97.277000000000015</v>
      </c>
      <c r="G52" s="44" t="s">
        <v>120</v>
      </c>
      <c r="J52" s="157" t="s">
        <v>152</v>
      </c>
      <c r="K52" s="44"/>
      <c r="L52" s="44">
        <f t="shared" si="7"/>
        <v>4276.0635000000002</v>
      </c>
      <c r="M52" s="44">
        <f t="shared" si="8"/>
        <v>3689.0949999999998</v>
      </c>
      <c r="N52" s="44" t="str">
        <f t="shared" si="9"/>
        <v>Cr</v>
      </c>
      <c r="O52" s="44">
        <f t="shared" si="5"/>
        <v>61.78</v>
      </c>
      <c r="P52" s="44"/>
    </row>
    <row r="53" spans="1:16">
      <c r="A53" s="158" t="s">
        <v>152</v>
      </c>
      <c r="B53" s="159"/>
      <c r="C53" s="159"/>
      <c r="D53" s="159"/>
      <c r="E53" s="159">
        <f t="shared" si="0"/>
        <v>0</v>
      </c>
      <c r="F53" s="68">
        <f t="shared" si="10"/>
        <v>0</v>
      </c>
      <c r="G53" s="159" t="s">
        <v>155</v>
      </c>
      <c r="J53" s="158" t="s">
        <v>152</v>
      </c>
      <c r="K53" s="44"/>
      <c r="L53" s="44">
        <f t="shared" si="7"/>
        <v>4276.0635000000002</v>
      </c>
      <c r="M53" s="44">
        <f t="shared" si="8"/>
        <v>3689.0949999999998</v>
      </c>
      <c r="N53" s="44" t="str">
        <f t="shared" si="9"/>
        <v>Cr</v>
      </c>
      <c r="O53" s="44">
        <f t="shared" si="5"/>
        <v>61.78</v>
      </c>
      <c r="P53" s="44"/>
    </row>
    <row r="54" spans="1:16">
      <c r="A54" s="157" t="s">
        <v>153</v>
      </c>
      <c r="B54" s="44">
        <v>5.7</v>
      </c>
      <c r="C54" s="44">
        <v>7.8</v>
      </c>
      <c r="D54" s="44">
        <v>3.5</v>
      </c>
      <c r="E54" s="44">
        <f t="shared" si="0"/>
        <v>68.25</v>
      </c>
      <c r="F54" s="93">
        <f t="shared" si="10"/>
        <v>238.875</v>
      </c>
      <c r="G54" s="44" t="s">
        <v>120</v>
      </c>
      <c r="J54" s="157" t="s">
        <v>153</v>
      </c>
      <c r="K54" s="44"/>
      <c r="L54" s="44">
        <f t="shared" si="7"/>
        <v>4514.9385000000002</v>
      </c>
      <c r="M54" s="44">
        <f t="shared" si="8"/>
        <v>3927.97</v>
      </c>
      <c r="N54" s="44" t="str">
        <f t="shared" si="9"/>
        <v>Cr</v>
      </c>
      <c r="O54" s="44">
        <f t="shared" si="5"/>
        <v>65.28</v>
      </c>
      <c r="P54" s="44"/>
    </row>
    <row r="55" spans="1:16">
      <c r="A55" s="157" t="s">
        <v>153</v>
      </c>
      <c r="B55" s="44">
        <v>6.4</v>
      </c>
      <c r="C55" s="44">
        <v>4.2</v>
      </c>
      <c r="D55" s="44">
        <v>1</v>
      </c>
      <c r="E55" s="44">
        <f t="shared" si="0"/>
        <v>58.400000000000006</v>
      </c>
      <c r="F55" s="93">
        <f t="shared" si="10"/>
        <v>58.400000000000006</v>
      </c>
      <c r="G55" s="44" t="s">
        <v>207</v>
      </c>
      <c r="J55" s="157" t="s">
        <v>153</v>
      </c>
      <c r="K55" s="44"/>
      <c r="L55" s="44">
        <f t="shared" si="7"/>
        <v>4573.3384999999998</v>
      </c>
      <c r="M55" s="44">
        <f t="shared" si="8"/>
        <v>3986.37</v>
      </c>
      <c r="N55" s="44" t="str">
        <f t="shared" si="9"/>
        <v>Cr</v>
      </c>
      <c r="O55" s="44">
        <f t="shared" si="5"/>
        <v>66.28</v>
      </c>
      <c r="P55" s="44"/>
    </row>
    <row r="56" spans="1:16">
      <c r="A56" s="157" t="s">
        <v>154</v>
      </c>
      <c r="B56" s="44">
        <v>5.2</v>
      </c>
      <c r="C56" s="44">
        <v>5.2</v>
      </c>
      <c r="D56" s="44">
        <v>1</v>
      </c>
      <c r="E56" s="44">
        <f t="shared" si="0"/>
        <v>54.600000000000009</v>
      </c>
      <c r="F56" s="93">
        <f t="shared" si="10"/>
        <v>54.600000000000009</v>
      </c>
      <c r="G56" s="44" t="s">
        <v>207</v>
      </c>
      <c r="J56" s="157" t="s">
        <v>154</v>
      </c>
      <c r="K56" s="44"/>
      <c r="L56" s="44">
        <f t="shared" si="7"/>
        <v>4627.9385000000002</v>
      </c>
      <c r="M56" s="44">
        <f t="shared" si="8"/>
        <v>4040.97</v>
      </c>
      <c r="N56" s="44" t="str">
        <f t="shared" si="9"/>
        <v>Cr</v>
      </c>
      <c r="O56" s="44">
        <f t="shared" si="5"/>
        <v>67.28</v>
      </c>
      <c r="P56" s="44"/>
    </row>
    <row r="57" spans="1:16">
      <c r="A57" s="157" t="s">
        <v>154</v>
      </c>
      <c r="B57" s="44">
        <v>4.7</v>
      </c>
      <c r="C57" s="44">
        <v>4.9000000000000004</v>
      </c>
      <c r="D57" s="44">
        <v>3.6</v>
      </c>
      <c r="E57" s="44">
        <f t="shared" si="0"/>
        <v>50.150000000000006</v>
      </c>
      <c r="F57" s="93">
        <f t="shared" si="10"/>
        <v>180.54000000000002</v>
      </c>
      <c r="G57" s="44" t="s">
        <v>120</v>
      </c>
      <c r="J57" s="157" t="s">
        <v>154</v>
      </c>
      <c r="K57" s="44"/>
      <c r="L57" s="44">
        <f t="shared" si="7"/>
        <v>4808.4785000000002</v>
      </c>
      <c r="M57" s="44">
        <f t="shared" si="8"/>
        <v>4221.51</v>
      </c>
      <c r="N57" s="44" t="str">
        <f t="shared" si="9"/>
        <v>Cr</v>
      </c>
      <c r="O57" s="44">
        <f t="shared" si="5"/>
        <v>70.88</v>
      </c>
      <c r="P57" s="44"/>
    </row>
    <row r="58" spans="1:16">
      <c r="A58" s="157" t="s">
        <v>156</v>
      </c>
      <c r="B58" s="44">
        <v>4.9000000000000004</v>
      </c>
      <c r="C58" s="44">
        <v>5.3</v>
      </c>
      <c r="D58" s="44">
        <v>3.3</v>
      </c>
      <c r="E58" s="44">
        <f t="shared" si="0"/>
        <v>53.05</v>
      </c>
      <c r="F58" s="93">
        <f t="shared" si="10"/>
        <v>175.06499999999997</v>
      </c>
      <c r="G58" s="44" t="s">
        <v>120</v>
      </c>
      <c r="J58" s="157" t="s">
        <v>156</v>
      </c>
      <c r="K58" s="44"/>
      <c r="L58" s="44">
        <f t="shared" si="7"/>
        <v>4983.5434999999998</v>
      </c>
      <c r="M58" s="44">
        <f t="shared" si="8"/>
        <v>4396.5749999999998</v>
      </c>
      <c r="N58" s="44" t="str">
        <f t="shared" si="9"/>
        <v>Cr</v>
      </c>
      <c r="O58" s="44">
        <f t="shared" si="5"/>
        <v>74.179999999999993</v>
      </c>
      <c r="P58" s="44"/>
    </row>
    <row r="59" spans="1:16">
      <c r="A59" s="157" t="s">
        <v>156</v>
      </c>
      <c r="B59" s="44">
        <v>6.8</v>
      </c>
      <c r="C59" s="44">
        <v>7.2</v>
      </c>
      <c r="D59" s="44">
        <v>1</v>
      </c>
      <c r="E59" s="44">
        <f t="shared" si="0"/>
        <v>73</v>
      </c>
      <c r="F59" s="93">
        <f t="shared" si="10"/>
        <v>73</v>
      </c>
      <c r="G59" s="44" t="s">
        <v>207</v>
      </c>
      <c r="J59" s="157" t="s">
        <v>156</v>
      </c>
      <c r="K59" s="44"/>
      <c r="L59" s="44">
        <f t="shared" si="7"/>
        <v>5056.5434999999998</v>
      </c>
      <c r="M59" s="44">
        <f t="shared" si="8"/>
        <v>4469.5749999999998</v>
      </c>
      <c r="N59" s="44" t="str">
        <f t="shared" si="9"/>
        <v>Cr</v>
      </c>
      <c r="O59" s="44">
        <f t="shared" si="5"/>
        <v>75.179999999999993</v>
      </c>
      <c r="P59" s="44"/>
    </row>
    <row r="60" spans="1:16">
      <c r="A60" s="157" t="s">
        <v>157</v>
      </c>
      <c r="B60" s="44">
        <v>4.9000000000000004</v>
      </c>
      <c r="C60" s="44">
        <v>5.3</v>
      </c>
      <c r="D60" s="44">
        <v>3.3</v>
      </c>
      <c r="E60" s="44">
        <f t="shared" si="0"/>
        <v>53.05</v>
      </c>
      <c r="F60" s="93">
        <f t="shared" si="10"/>
        <v>175.06499999999997</v>
      </c>
      <c r="G60" s="44" t="s">
        <v>120</v>
      </c>
      <c r="J60" s="157" t="s">
        <v>157</v>
      </c>
      <c r="K60" s="44"/>
      <c r="L60" s="44">
        <f t="shared" si="7"/>
        <v>5231.6084999999994</v>
      </c>
      <c r="M60" s="44">
        <f t="shared" si="8"/>
        <v>4644.6399999999994</v>
      </c>
      <c r="N60" s="44" t="str">
        <f t="shared" si="9"/>
        <v>Cr</v>
      </c>
      <c r="O60" s="44">
        <f t="shared" si="5"/>
        <v>78.47999999999999</v>
      </c>
      <c r="P60" s="44"/>
    </row>
    <row r="61" spans="1:16">
      <c r="A61" s="157" t="s">
        <v>157</v>
      </c>
      <c r="B61" s="44">
        <v>5.3</v>
      </c>
      <c r="C61" s="44">
        <v>5.7</v>
      </c>
      <c r="D61" s="44">
        <v>1</v>
      </c>
      <c r="E61" s="44">
        <f t="shared" si="0"/>
        <v>57.25</v>
      </c>
      <c r="F61" s="93">
        <f t="shared" si="10"/>
        <v>57.25</v>
      </c>
      <c r="G61" s="44"/>
      <c r="J61" s="157" t="s">
        <v>157</v>
      </c>
      <c r="K61" s="44"/>
      <c r="L61" s="44">
        <f t="shared" si="7"/>
        <v>5288.8584999999994</v>
      </c>
      <c r="M61" s="44">
        <f t="shared" si="8"/>
        <v>4701.8899999999994</v>
      </c>
      <c r="N61" s="44" t="str">
        <f t="shared" si="9"/>
        <v>Cr</v>
      </c>
      <c r="O61" s="44">
        <f t="shared" si="5"/>
        <v>79.47999999999999</v>
      </c>
      <c r="P61" s="44"/>
    </row>
    <row r="62" spans="1:16">
      <c r="A62" s="157" t="s">
        <v>158</v>
      </c>
      <c r="B62" s="44">
        <v>5.2</v>
      </c>
      <c r="C62" s="44">
        <v>6.3</v>
      </c>
      <c r="D62" s="44">
        <v>3.2</v>
      </c>
      <c r="E62" s="44">
        <f t="shared" si="0"/>
        <v>59</v>
      </c>
      <c r="F62" s="93">
        <f t="shared" si="10"/>
        <v>188.8</v>
      </c>
      <c r="G62" s="44" t="s">
        <v>120</v>
      </c>
      <c r="J62" s="157" t="s">
        <v>158</v>
      </c>
      <c r="K62" s="44"/>
      <c r="L62" s="44">
        <f t="shared" si="7"/>
        <v>5477.6584999999995</v>
      </c>
      <c r="M62" s="44">
        <f t="shared" si="8"/>
        <v>4890.6899999999996</v>
      </c>
      <c r="N62" s="44" t="str">
        <f t="shared" si="9"/>
        <v>Cr</v>
      </c>
      <c r="O62" s="44">
        <f t="shared" si="5"/>
        <v>82.679999999999993</v>
      </c>
      <c r="P62" s="44"/>
    </row>
    <row r="63" spans="1:16">
      <c r="A63" s="157" t="s">
        <v>158</v>
      </c>
      <c r="B63" s="44">
        <v>6.3</v>
      </c>
      <c r="C63" s="44">
        <v>8.3000000000000007</v>
      </c>
      <c r="D63" s="44">
        <v>1</v>
      </c>
      <c r="E63" s="44">
        <f t="shared" si="0"/>
        <v>74.150000000000006</v>
      </c>
      <c r="F63" s="93">
        <f t="shared" si="10"/>
        <v>74.150000000000006</v>
      </c>
      <c r="G63" s="44" t="s">
        <v>207</v>
      </c>
      <c r="J63" s="157" t="s">
        <v>158</v>
      </c>
      <c r="K63" s="44"/>
      <c r="L63" s="44">
        <f t="shared" si="7"/>
        <v>5551.8084999999992</v>
      </c>
      <c r="M63" s="44">
        <f t="shared" si="8"/>
        <v>4964.8399999999992</v>
      </c>
      <c r="N63" s="44" t="str">
        <f t="shared" si="9"/>
        <v>Cr</v>
      </c>
      <c r="O63" s="44">
        <f t="shared" si="5"/>
        <v>83.679999999999993</v>
      </c>
      <c r="P63" s="44"/>
    </row>
    <row r="64" spans="1:16">
      <c r="A64" s="157" t="s">
        <v>159</v>
      </c>
      <c r="B64" s="44">
        <v>4.8</v>
      </c>
      <c r="C64" s="44">
        <v>5.9</v>
      </c>
      <c r="D64" s="44">
        <v>3.8</v>
      </c>
      <c r="E64" s="44">
        <f t="shared" si="0"/>
        <v>54.8</v>
      </c>
      <c r="F64" s="93">
        <f t="shared" si="10"/>
        <v>208.23999999999998</v>
      </c>
      <c r="G64" s="44" t="s">
        <v>120</v>
      </c>
      <c r="J64" s="157" t="s">
        <v>159</v>
      </c>
      <c r="K64" s="44"/>
      <c r="L64" s="44">
        <f t="shared" si="7"/>
        <v>5760.048499999999</v>
      </c>
      <c r="M64" s="44">
        <f t="shared" si="8"/>
        <v>5173.079999999999</v>
      </c>
      <c r="N64" s="44" t="str">
        <f t="shared" si="9"/>
        <v>Cr</v>
      </c>
      <c r="O64" s="44">
        <f t="shared" si="5"/>
        <v>87.47999999999999</v>
      </c>
      <c r="P64" s="44"/>
    </row>
    <row r="65" spans="1:16">
      <c r="A65" s="157" t="s">
        <v>159</v>
      </c>
      <c r="B65" s="44">
        <v>6.4</v>
      </c>
      <c r="C65" s="44">
        <v>6.4</v>
      </c>
      <c r="D65" s="44">
        <v>1</v>
      </c>
      <c r="E65" s="44">
        <f t="shared" si="0"/>
        <v>67.2</v>
      </c>
      <c r="F65" s="93">
        <f t="shared" si="10"/>
        <v>67.2</v>
      </c>
      <c r="G65" s="44" t="s">
        <v>207</v>
      </c>
      <c r="J65" s="157" t="s">
        <v>159</v>
      </c>
      <c r="K65" s="44"/>
      <c r="L65" s="44">
        <f t="shared" si="7"/>
        <v>5827.2484999999988</v>
      </c>
      <c r="M65" s="44">
        <f t="shared" si="8"/>
        <v>5240.2799999999988</v>
      </c>
      <c r="N65" s="44" t="str">
        <f t="shared" si="9"/>
        <v>Cr</v>
      </c>
      <c r="O65" s="44">
        <f t="shared" si="5"/>
        <v>88.47999999999999</v>
      </c>
      <c r="P65" s="44"/>
    </row>
    <row r="66" spans="1:16">
      <c r="A66" s="157" t="s">
        <v>160</v>
      </c>
      <c r="B66" s="44">
        <v>5.0999999999999996</v>
      </c>
      <c r="C66" s="44">
        <v>5.8</v>
      </c>
      <c r="D66" s="44">
        <v>3</v>
      </c>
      <c r="E66" s="44">
        <f t="shared" si="0"/>
        <v>56.349999999999994</v>
      </c>
      <c r="F66" s="93">
        <f t="shared" si="10"/>
        <v>169.04999999999998</v>
      </c>
      <c r="G66" s="44" t="s">
        <v>120</v>
      </c>
      <c r="J66" s="157" t="s">
        <v>160</v>
      </c>
      <c r="K66" s="44"/>
      <c r="L66" s="44">
        <f t="shared" si="7"/>
        <v>5996.298499999999</v>
      </c>
      <c r="M66" s="44">
        <f t="shared" si="8"/>
        <v>5409.329999999999</v>
      </c>
      <c r="N66" s="44" t="str">
        <f t="shared" si="9"/>
        <v>Cr</v>
      </c>
      <c r="O66" s="44">
        <f t="shared" si="5"/>
        <v>91.47999999999999</v>
      </c>
      <c r="P66" s="44"/>
    </row>
    <row r="67" spans="1:16">
      <c r="A67" s="158" t="s">
        <v>160</v>
      </c>
      <c r="B67" s="159"/>
      <c r="C67" s="159"/>
      <c r="D67" s="159"/>
      <c r="E67" s="159">
        <f t="shared" si="0"/>
        <v>0</v>
      </c>
      <c r="F67" s="68">
        <f t="shared" si="10"/>
        <v>0</v>
      </c>
      <c r="G67" s="159" t="s">
        <v>155</v>
      </c>
      <c r="J67" s="158" t="s">
        <v>160</v>
      </c>
      <c r="K67" s="44"/>
      <c r="L67" s="44">
        <f t="shared" si="7"/>
        <v>5996.298499999999</v>
      </c>
      <c r="M67" s="44">
        <f t="shared" si="8"/>
        <v>5409.329999999999</v>
      </c>
      <c r="N67" s="44" t="str">
        <f t="shared" si="9"/>
        <v>Cr</v>
      </c>
      <c r="O67" s="44">
        <f t="shared" si="5"/>
        <v>91.47999999999999</v>
      </c>
      <c r="P67" s="44"/>
    </row>
    <row r="68" spans="1:16">
      <c r="A68" s="157" t="s">
        <v>161</v>
      </c>
      <c r="B68" s="44">
        <v>5</v>
      </c>
      <c r="C68" s="44">
        <v>5.0999999999999996</v>
      </c>
      <c r="D68" s="44">
        <v>2.2000000000000002</v>
      </c>
      <c r="E68" s="44">
        <f t="shared" si="0"/>
        <v>52.9</v>
      </c>
      <c r="F68" s="93">
        <f t="shared" si="10"/>
        <v>116.38000000000001</v>
      </c>
      <c r="G68" s="44" t="s">
        <v>120</v>
      </c>
      <c r="J68" s="157" t="s">
        <v>161</v>
      </c>
      <c r="K68" s="44"/>
      <c r="L68" s="44">
        <f t="shared" si="7"/>
        <v>6112.6784999999991</v>
      </c>
      <c r="M68" s="44">
        <f t="shared" si="8"/>
        <v>5525.7099999999991</v>
      </c>
      <c r="N68" s="44" t="str">
        <f t="shared" si="9"/>
        <v>Cr</v>
      </c>
      <c r="O68" s="44">
        <f t="shared" si="5"/>
        <v>93.679999999999993</v>
      </c>
      <c r="P68" s="44"/>
    </row>
    <row r="69" spans="1:16">
      <c r="A69" s="157" t="s">
        <v>161</v>
      </c>
      <c r="B69" s="44">
        <v>7.1</v>
      </c>
      <c r="C69" s="44">
        <v>6.3</v>
      </c>
      <c r="D69" s="44">
        <v>1</v>
      </c>
      <c r="E69" s="44">
        <f t="shared" si="0"/>
        <v>71.349999999999994</v>
      </c>
      <c r="F69" s="93">
        <f t="shared" si="10"/>
        <v>71.349999999999994</v>
      </c>
      <c r="G69" s="44" t="s">
        <v>207</v>
      </c>
      <c r="J69" s="157" t="s">
        <v>161</v>
      </c>
      <c r="K69" s="44"/>
      <c r="L69" s="44">
        <f t="shared" si="7"/>
        <v>6184.0284999999994</v>
      </c>
      <c r="M69" s="44">
        <f t="shared" si="8"/>
        <v>5597.0599999999995</v>
      </c>
      <c r="N69" s="44" t="str">
        <f t="shared" si="9"/>
        <v>Cr</v>
      </c>
      <c r="O69" s="44">
        <f t="shared" si="5"/>
        <v>94.679999999999993</v>
      </c>
      <c r="P69" s="44"/>
    </row>
    <row r="70" spans="1:16">
      <c r="A70" s="157" t="s">
        <v>162</v>
      </c>
      <c r="B70" s="44">
        <v>4.8</v>
      </c>
      <c r="C70" s="44">
        <v>5.0999999999999996</v>
      </c>
      <c r="D70" s="44">
        <v>3.7</v>
      </c>
      <c r="E70" s="44">
        <f t="shared" si="0"/>
        <v>51.599999999999994</v>
      </c>
      <c r="F70" s="93">
        <f t="shared" si="10"/>
        <v>190.92</v>
      </c>
      <c r="G70" s="44" t="s">
        <v>120</v>
      </c>
      <c r="J70" s="157" t="s">
        <v>162</v>
      </c>
      <c r="K70" s="44"/>
      <c r="L70" s="44">
        <f t="shared" si="7"/>
        <v>6374.9484999999995</v>
      </c>
      <c r="M70" s="44">
        <f t="shared" si="8"/>
        <v>5787.98</v>
      </c>
      <c r="N70" s="44" t="str">
        <f t="shared" si="9"/>
        <v>Cr</v>
      </c>
      <c r="O70" s="44">
        <f t="shared" si="5"/>
        <v>98.38</v>
      </c>
      <c r="P70" s="44"/>
    </row>
    <row r="71" spans="1:16">
      <c r="A71" s="158" t="s">
        <v>162</v>
      </c>
      <c r="B71" s="159"/>
      <c r="C71" s="159"/>
      <c r="D71" s="159"/>
      <c r="E71" s="159">
        <f t="shared" si="0"/>
        <v>0</v>
      </c>
      <c r="F71" s="68">
        <f t="shared" si="10"/>
        <v>0</v>
      </c>
      <c r="G71" s="159"/>
      <c r="J71" s="158" t="s">
        <v>162</v>
      </c>
      <c r="K71" s="44"/>
      <c r="L71" s="44">
        <f t="shared" si="7"/>
        <v>6374.9484999999995</v>
      </c>
      <c r="M71" s="44">
        <f t="shared" si="8"/>
        <v>5787.98</v>
      </c>
      <c r="N71" s="44" t="str">
        <f t="shared" si="9"/>
        <v>Cr</v>
      </c>
      <c r="O71" s="44">
        <f t="shared" si="5"/>
        <v>98.38</v>
      </c>
      <c r="P71" s="44"/>
    </row>
    <row r="72" spans="1:16">
      <c r="A72" s="157" t="s">
        <v>163</v>
      </c>
      <c r="B72" s="44">
        <v>5.4</v>
      </c>
      <c r="C72" s="44">
        <v>6.1</v>
      </c>
      <c r="D72" s="44">
        <v>3.1</v>
      </c>
      <c r="E72" s="44">
        <f t="shared" si="0"/>
        <v>59.5</v>
      </c>
      <c r="F72" s="93">
        <f t="shared" si="10"/>
        <v>184.45000000000002</v>
      </c>
      <c r="G72" s="44" t="s">
        <v>120</v>
      </c>
      <c r="J72" s="157" t="s">
        <v>163</v>
      </c>
      <c r="K72" s="44"/>
      <c r="L72" s="44">
        <f t="shared" si="7"/>
        <v>6559.3984999999993</v>
      </c>
      <c r="M72" s="44">
        <f t="shared" si="8"/>
        <v>5972.4299999999994</v>
      </c>
      <c r="N72" s="44" t="str">
        <f t="shared" si="9"/>
        <v>Cr</v>
      </c>
      <c r="O72" s="44">
        <f t="shared" si="5"/>
        <v>101.47999999999999</v>
      </c>
      <c r="P72" s="44"/>
    </row>
    <row r="73" spans="1:16">
      <c r="A73" s="158" t="s">
        <v>164</v>
      </c>
      <c r="B73" s="159"/>
      <c r="C73" s="159"/>
      <c r="D73" s="159"/>
      <c r="E73" s="159">
        <f t="shared" si="0"/>
        <v>0</v>
      </c>
      <c r="F73" s="68">
        <f t="shared" si="10"/>
        <v>0</v>
      </c>
      <c r="G73" s="159" t="s">
        <v>120</v>
      </c>
      <c r="J73" s="158" t="s">
        <v>164</v>
      </c>
      <c r="K73" s="44"/>
      <c r="L73" s="44">
        <f t="shared" si="7"/>
        <v>6559.3984999999993</v>
      </c>
      <c r="M73" s="44">
        <f t="shared" si="8"/>
        <v>5972.4299999999994</v>
      </c>
      <c r="N73" s="44" t="str">
        <f t="shared" si="9"/>
        <v>Cr</v>
      </c>
      <c r="O73" s="44">
        <f t="shared" si="5"/>
        <v>101.47999999999999</v>
      </c>
      <c r="P73" s="44"/>
    </row>
    <row r="74" spans="1:16">
      <c r="A74" s="157">
        <v>0</v>
      </c>
      <c r="B74" s="44">
        <v>4.9000000000000004</v>
      </c>
      <c r="C74" s="44">
        <v>4.7</v>
      </c>
      <c r="D74" s="44">
        <v>1</v>
      </c>
      <c r="E74" s="44">
        <f t="shared" si="0"/>
        <v>50.650000000000006</v>
      </c>
      <c r="F74" s="93">
        <f t="shared" si="10"/>
        <v>50.650000000000006</v>
      </c>
      <c r="G74" s="44" t="s">
        <v>207</v>
      </c>
      <c r="J74" s="157" t="s">
        <v>164</v>
      </c>
      <c r="K74" s="44">
        <v>6020</v>
      </c>
      <c r="L74" s="44">
        <f t="shared" si="7"/>
        <v>6610.048499999999</v>
      </c>
      <c r="M74" s="44">
        <f t="shared" si="8"/>
        <v>3.0799999999990177</v>
      </c>
      <c r="N74" s="44" t="str">
        <f t="shared" si="9"/>
        <v>Cr</v>
      </c>
      <c r="O74" s="44">
        <f t="shared" si="5"/>
        <v>102.47999999999999</v>
      </c>
      <c r="P74" s="44"/>
    </row>
    <row r="75" spans="1:16">
      <c r="A75" s="157" t="s">
        <v>165</v>
      </c>
      <c r="B75" s="44">
        <v>5.0999999999999996</v>
      </c>
      <c r="C75" s="44">
        <v>5.2</v>
      </c>
      <c r="D75" s="44">
        <v>3</v>
      </c>
      <c r="E75" s="44">
        <f t="shared" si="0"/>
        <v>53.95</v>
      </c>
      <c r="F75" s="93">
        <f t="shared" si="10"/>
        <v>161.85000000000002</v>
      </c>
      <c r="G75" s="44" t="s">
        <v>120</v>
      </c>
      <c r="J75" s="157" t="s">
        <v>165</v>
      </c>
      <c r="K75" s="44"/>
      <c r="L75" s="44">
        <f t="shared" si="7"/>
        <v>6771.8984999999993</v>
      </c>
      <c r="M75" s="44">
        <f t="shared" si="8"/>
        <v>164.92999999999904</v>
      </c>
      <c r="N75" s="44" t="str">
        <f t="shared" si="9"/>
        <v>Cr</v>
      </c>
      <c r="O75" s="44">
        <f t="shared" si="5"/>
        <v>105.47999999999999</v>
      </c>
      <c r="P75" s="44"/>
    </row>
    <row r="76" spans="1:16">
      <c r="A76" s="157" t="s">
        <v>165</v>
      </c>
      <c r="B76" s="44">
        <v>5.7</v>
      </c>
      <c r="C76" s="44">
        <v>6.3</v>
      </c>
      <c r="D76" s="44">
        <v>1</v>
      </c>
      <c r="E76" s="44">
        <f t="shared" si="0"/>
        <v>62.25</v>
      </c>
      <c r="F76" s="93">
        <f t="shared" si="10"/>
        <v>62.25</v>
      </c>
      <c r="G76" s="44" t="s">
        <v>207</v>
      </c>
      <c r="J76" s="157" t="s">
        <v>165</v>
      </c>
      <c r="K76" s="86"/>
      <c r="L76" s="44">
        <f t="shared" si="7"/>
        <v>6834.1484999999993</v>
      </c>
      <c r="M76" s="44">
        <f t="shared" si="8"/>
        <v>227.17999999999904</v>
      </c>
      <c r="N76" s="44" t="str">
        <f t="shared" si="9"/>
        <v>Cr</v>
      </c>
      <c r="O76" s="44">
        <f t="shared" ref="O76:O82" si="11">(O75+D76)</f>
        <v>106.47999999999999</v>
      </c>
      <c r="P76" s="86"/>
    </row>
    <row r="77" spans="1:16">
      <c r="A77" s="157" t="s">
        <v>166</v>
      </c>
      <c r="B77" s="44">
        <v>4.5</v>
      </c>
      <c r="C77" s="44">
        <v>5.9</v>
      </c>
      <c r="D77" s="44">
        <v>3</v>
      </c>
      <c r="E77" s="44">
        <f t="shared" si="0"/>
        <v>52.85</v>
      </c>
      <c r="F77" s="93">
        <f t="shared" si="10"/>
        <v>158.55000000000001</v>
      </c>
      <c r="G77" s="44" t="s">
        <v>120</v>
      </c>
      <c r="J77" s="157" t="s">
        <v>166</v>
      </c>
      <c r="K77" s="87"/>
      <c r="L77" s="44">
        <f t="shared" si="7"/>
        <v>6992.6984999999995</v>
      </c>
      <c r="M77" s="44">
        <f t="shared" si="8"/>
        <v>385.72999999999905</v>
      </c>
      <c r="N77" s="44" t="str">
        <f t="shared" si="9"/>
        <v>Cr</v>
      </c>
      <c r="O77" s="44">
        <f t="shared" si="11"/>
        <v>109.47999999999999</v>
      </c>
      <c r="P77" s="87"/>
    </row>
    <row r="78" spans="1:16">
      <c r="A78" s="157" t="s">
        <v>166</v>
      </c>
      <c r="B78" s="44">
        <v>5.3</v>
      </c>
      <c r="C78" s="44">
        <v>5.4</v>
      </c>
      <c r="D78" s="44">
        <v>1</v>
      </c>
      <c r="E78" s="44">
        <f t="shared" si="0"/>
        <v>56.05</v>
      </c>
      <c r="F78" s="93">
        <f t="shared" si="10"/>
        <v>56.05</v>
      </c>
      <c r="G78" s="44" t="s">
        <v>207</v>
      </c>
      <c r="J78" s="157" t="s">
        <v>166</v>
      </c>
      <c r="K78" s="87"/>
      <c r="L78" s="44">
        <f t="shared" si="7"/>
        <v>7048.7484999999997</v>
      </c>
      <c r="M78" s="44">
        <f t="shared" si="8"/>
        <v>441.77999999999906</v>
      </c>
      <c r="N78" s="44" t="str">
        <f t="shared" si="9"/>
        <v>Cr</v>
      </c>
      <c r="O78" s="44">
        <f t="shared" si="11"/>
        <v>110.47999999999999</v>
      </c>
      <c r="P78" s="87"/>
    </row>
    <row r="79" spans="1:16">
      <c r="A79" s="157" t="s">
        <v>167</v>
      </c>
      <c r="B79" s="44">
        <v>4.0999999999999996</v>
      </c>
      <c r="C79" s="44">
        <v>6.4</v>
      </c>
      <c r="D79" s="44">
        <v>3</v>
      </c>
      <c r="E79" s="44">
        <f t="shared" si="0"/>
        <v>52.25</v>
      </c>
      <c r="F79" s="93">
        <f t="shared" si="10"/>
        <v>156.75</v>
      </c>
      <c r="G79" s="44" t="s">
        <v>120</v>
      </c>
      <c r="J79" s="157" t="s">
        <v>167</v>
      </c>
      <c r="K79" s="87"/>
      <c r="L79" s="44">
        <f t="shared" si="7"/>
        <v>7205.4984999999997</v>
      </c>
      <c r="M79" s="44">
        <f t="shared" si="8"/>
        <v>598.52999999999906</v>
      </c>
      <c r="N79" s="44" t="str">
        <f t="shared" si="9"/>
        <v>Cr</v>
      </c>
      <c r="O79" s="44">
        <f t="shared" si="11"/>
        <v>113.47999999999999</v>
      </c>
      <c r="P79" s="87"/>
    </row>
    <row r="80" spans="1:16">
      <c r="A80" s="158" t="s">
        <v>167</v>
      </c>
      <c r="B80" s="159"/>
      <c r="C80" s="159"/>
      <c r="D80" s="159"/>
      <c r="E80" s="159">
        <f t="shared" si="0"/>
        <v>0</v>
      </c>
      <c r="F80" s="68">
        <f t="shared" si="10"/>
        <v>0</v>
      </c>
      <c r="G80" s="159"/>
      <c r="J80" s="158" t="s">
        <v>167</v>
      </c>
      <c r="K80" s="87"/>
      <c r="L80" s="44">
        <f t="shared" si="7"/>
        <v>7205.4984999999997</v>
      </c>
      <c r="M80" s="44">
        <f t="shared" si="8"/>
        <v>598.52999999999906</v>
      </c>
      <c r="N80" s="44" t="str">
        <f t="shared" si="9"/>
        <v>Cr</v>
      </c>
      <c r="O80" s="44">
        <f t="shared" si="11"/>
        <v>113.47999999999999</v>
      </c>
      <c r="P80" s="87"/>
    </row>
    <row r="81" spans="1:16">
      <c r="A81" s="157" t="s">
        <v>168</v>
      </c>
      <c r="B81" s="44">
        <v>5.4</v>
      </c>
      <c r="C81" s="44">
        <v>8.3000000000000007</v>
      </c>
      <c r="D81" s="44">
        <v>3.3</v>
      </c>
      <c r="E81" s="44">
        <f t="shared" si="0"/>
        <v>68.300000000000011</v>
      </c>
      <c r="F81" s="93">
        <f t="shared" si="10"/>
        <v>225.39000000000001</v>
      </c>
      <c r="G81" s="44" t="s">
        <v>120</v>
      </c>
      <c r="J81" s="157" t="s">
        <v>168</v>
      </c>
      <c r="K81" s="87"/>
      <c r="L81" s="44">
        <f t="shared" si="7"/>
        <v>7430.8885</v>
      </c>
      <c r="M81" s="44">
        <f t="shared" si="8"/>
        <v>823.91999999999905</v>
      </c>
      <c r="N81" s="44" t="str">
        <f t="shared" si="9"/>
        <v>Cr</v>
      </c>
      <c r="O81" s="44">
        <f t="shared" si="11"/>
        <v>116.77999999999999</v>
      </c>
      <c r="P81" s="87"/>
    </row>
    <row r="82" spans="1:16">
      <c r="A82" s="165" t="s">
        <v>168</v>
      </c>
      <c r="B82" s="166"/>
      <c r="C82" s="166"/>
      <c r="D82" s="166"/>
      <c r="E82" s="166">
        <f t="shared" si="0"/>
        <v>0</v>
      </c>
      <c r="F82" s="156">
        <f t="shared" si="10"/>
        <v>0</v>
      </c>
      <c r="G82" s="166"/>
      <c r="J82" s="165" t="s">
        <v>168</v>
      </c>
      <c r="K82" s="87">
        <v>820</v>
      </c>
      <c r="L82" s="44">
        <f t="shared" si="7"/>
        <v>7430.8885</v>
      </c>
      <c r="M82" s="44">
        <f t="shared" si="8"/>
        <v>3.9199999999990496</v>
      </c>
      <c r="N82" s="44" t="str">
        <f t="shared" si="9"/>
        <v>Cr</v>
      </c>
      <c r="O82" s="44">
        <f t="shared" si="11"/>
        <v>116.77999999999999</v>
      </c>
      <c r="P82" s="87"/>
    </row>
    <row r="83" spans="1:16">
      <c r="A83" s="83"/>
      <c r="B83" s="20"/>
      <c r="C83" s="20"/>
      <c r="D83" s="20"/>
      <c r="E83" s="20"/>
      <c r="F83" s="164"/>
      <c r="G83" s="20"/>
    </row>
  </sheetData>
  <mergeCells count="1">
    <mergeCell ref="B2:G2"/>
  </mergeCells>
  <hyperlinks>
    <hyperlink ref="F5" location="'Customer Index'!A8" display="Customer Code"/>
    <hyperlink ref="G5" location="'Customer Index'!A17" display="Bas10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topLeftCell="A16" zoomScaleNormal="100" workbookViewId="0">
      <selection activeCell="L30" sqref="L30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229</v>
      </c>
      <c r="B3" s="51"/>
      <c r="C3" s="51"/>
      <c r="F3" s="52" t="s">
        <v>106</v>
      </c>
      <c r="G3" s="53" t="s">
        <v>228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45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23" si="0">(B8*6.5+C8*4)</f>
        <v>0</v>
      </c>
      <c r="F8" s="24">
        <f t="shared" ref="F8:F40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1880.0805000000003</v>
      </c>
      <c r="R8" s="44">
        <f>SUM(K8:K48)</f>
        <v>1875</v>
      </c>
      <c r="S8" s="44">
        <f>(Q8-R8)</f>
        <v>5.0805000000002565</v>
      </c>
      <c r="T8" s="44">
        <f>SUM(D8:D47)</f>
        <v>24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2" si="2">(L8+F9)</f>
        <v>0</v>
      </c>
      <c r="M9" s="44">
        <f t="shared" ref="M9:M22" si="3">(M8+F9-K9)</f>
        <v>0</v>
      </c>
      <c r="N9" s="44" t="str">
        <f t="shared" ref="N9:N30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0"/>
        <v>0</v>
      </c>
      <c r="F21" s="93">
        <f t="shared" si="1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>
        <v>6.55</v>
      </c>
      <c r="C22" s="93">
        <v>8.7899999999999991</v>
      </c>
      <c r="D22" s="93">
        <v>3.8</v>
      </c>
      <c r="E22" s="24">
        <f t="shared" si="0"/>
        <v>77.734999999999985</v>
      </c>
      <c r="F22" s="93">
        <f t="shared" si="1"/>
        <v>295.39299999999992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295.39299999999992</v>
      </c>
      <c r="M22" s="44">
        <f t="shared" si="3"/>
        <v>295.39299999999992</v>
      </c>
      <c r="N22" s="44" t="str">
        <f t="shared" si="4"/>
        <v>Cr</v>
      </c>
      <c r="O22" s="44"/>
    </row>
    <row r="23" spans="1:21">
      <c r="A23" s="96" t="s">
        <v>136</v>
      </c>
      <c r="B23" s="93">
        <v>6.62</v>
      </c>
      <c r="C23" s="93">
        <v>8.57</v>
      </c>
      <c r="D23" s="93">
        <v>3.5</v>
      </c>
      <c r="E23" s="24">
        <f t="shared" si="0"/>
        <v>77.31</v>
      </c>
      <c r="F23" s="93">
        <f t="shared" si="1"/>
        <v>270.58500000000004</v>
      </c>
      <c r="G23" s="93" t="s">
        <v>120</v>
      </c>
      <c r="H23" s="20"/>
      <c r="I23" s="20"/>
      <c r="J23" s="62" t="s">
        <v>136</v>
      </c>
      <c r="K23" s="44">
        <v>565</v>
      </c>
      <c r="L23" s="44">
        <f>(L22+F23)</f>
        <v>565.97799999999995</v>
      </c>
      <c r="M23" s="44">
        <f t="shared" ref="M23:M30" si="5">(M22+F23-K23)</f>
        <v>0.9779999999999518</v>
      </c>
      <c r="N23" s="44" t="str">
        <f t="shared" si="4"/>
        <v>Cr</v>
      </c>
      <c r="O23" s="44"/>
    </row>
    <row r="24" spans="1:21">
      <c r="A24" s="73" t="s">
        <v>138</v>
      </c>
      <c r="B24" s="75">
        <v>6.01</v>
      </c>
      <c r="C24" s="75">
        <v>8.85</v>
      </c>
      <c r="D24" s="75">
        <v>1.5</v>
      </c>
      <c r="E24" s="75"/>
      <c r="F24" s="75">
        <f t="shared" si="1"/>
        <v>111.69750000000001</v>
      </c>
      <c r="G24" s="75" t="s">
        <v>120</v>
      </c>
      <c r="H24" s="20"/>
      <c r="I24" s="20"/>
      <c r="J24" s="97" t="s">
        <v>138</v>
      </c>
      <c r="K24" s="78"/>
      <c r="L24" s="44">
        <f t="shared" ref="L24:L30" si="6">(L23+F24)</f>
        <v>677.67549999999994</v>
      </c>
      <c r="M24" s="78">
        <f t="shared" si="5"/>
        <v>112.67549999999996</v>
      </c>
      <c r="N24" s="78" t="str">
        <f t="shared" si="4"/>
        <v>Cr</v>
      </c>
      <c r="O24" s="78"/>
    </row>
    <row r="25" spans="1:21">
      <c r="A25" s="96" t="s">
        <v>139</v>
      </c>
      <c r="B25" s="93">
        <v>7.27</v>
      </c>
      <c r="C25" s="93">
        <v>8</v>
      </c>
      <c r="D25" s="93">
        <v>3.1</v>
      </c>
      <c r="E25" s="24"/>
      <c r="F25" s="93">
        <f t="shared" si="1"/>
        <v>245.69049999999999</v>
      </c>
      <c r="G25" s="93" t="s">
        <v>120</v>
      </c>
      <c r="H25" s="20"/>
      <c r="I25" s="20"/>
      <c r="J25" s="62" t="s">
        <v>139</v>
      </c>
      <c r="K25" s="44"/>
      <c r="L25" s="44">
        <f t="shared" si="6"/>
        <v>923.36599999999999</v>
      </c>
      <c r="M25" s="44">
        <f t="shared" si="5"/>
        <v>358.36599999999993</v>
      </c>
      <c r="N25" s="44" t="str">
        <f t="shared" si="4"/>
        <v>Cr</v>
      </c>
      <c r="O25" s="44"/>
    </row>
    <row r="26" spans="1:21">
      <c r="A26" s="96" t="s">
        <v>140</v>
      </c>
      <c r="B26" s="93">
        <v>6.28</v>
      </c>
      <c r="C26" s="93">
        <v>8.82</v>
      </c>
      <c r="D26" s="93">
        <v>3.1</v>
      </c>
      <c r="E26" s="24"/>
      <c r="F26" s="93">
        <f t="shared" si="1"/>
        <v>235.91</v>
      </c>
      <c r="G26" s="93" t="s">
        <v>120</v>
      </c>
      <c r="H26" s="20"/>
      <c r="I26" s="20"/>
      <c r="J26" s="62" t="s">
        <v>140</v>
      </c>
      <c r="K26" s="44"/>
      <c r="L26" s="44">
        <f t="shared" si="6"/>
        <v>1159.2760000000001</v>
      </c>
      <c r="M26" s="44">
        <f t="shared" si="5"/>
        <v>594.27599999999995</v>
      </c>
      <c r="N26" s="44" t="str">
        <f t="shared" si="4"/>
        <v>Cr</v>
      </c>
      <c r="O26" s="44"/>
    </row>
    <row r="27" spans="1:21">
      <c r="A27" s="96" t="s">
        <v>141</v>
      </c>
      <c r="B27" s="93">
        <v>7.03</v>
      </c>
      <c r="C27" s="93">
        <v>8.9</v>
      </c>
      <c r="D27" s="93">
        <v>3</v>
      </c>
      <c r="E27" s="24"/>
      <c r="F27" s="93">
        <f t="shared" si="1"/>
        <v>243.88499999999999</v>
      </c>
      <c r="G27" s="93" t="s">
        <v>155</v>
      </c>
      <c r="H27" s="20"/>
      <c r="I27" s="20"/>
      <c r="J27" s="62" t="s">
        <v>141</v>
      </c>
      <c r="K27" s="44"/>
      <c r="L27" s="44">
        <f t="shared" si="6"/>
        <v>1403.1610000000001</v>
      </c>
      <c r="M27" s="44">
        <f t="shared" si="5"/>
        <v>838.16099999999994</v>
      </c>
      <c r="N27" s="44" t="str">
        <f t="shared" si="4"/>
        <v>Cr</v>
      </c>
      <c r="O27" s="44"/>
    </row>
    <row r="28" spans="1:21">
      <c r="A28" s="96" t="s">
        <v>142</v>
      </c>
      <c r="B28" s="93">
        <v>7.1</v>
      </c>
      <c r="C28" s="93">
        <v>8.9</v>
      </c>
      <c r="D28" s="93">
        <v>2</v>
      </c>
      <c r="E28" s="24"/>
      <c r="F28" s="93">
        <f t="shared" si="1"/>
        <v>163.5</v>
      </c>
      <c r="G28" s="93" t="s">
        <v>120</v>
      </c>
      <c r="H28" s="20"/>
      <c r="I28" s="20"/>
      <c r="J28" s="62" t="s">
        <v>142</v>
      </c>
      <c r="K28" s="44"/>
      <c r="L28" s="44">
        <f t="shared" si="6"/>
        <v>1566.6610000000001</v>
      </c>
      <c r="M28" s="44">
        <f t="shared" si="5"/>
        <v>1001.6609999999999</v>
      </c>
      <c r="N28" s="44" t="str">
        <f t="shared" si="4"/>
        <v>Cr</v>
      </c>
      <c r="O28" s="44"/>
    </row>
    <row r="29" spans="1:21">
      <c r="A29" s="96" t="s">
        <v>143</v>
      </c>
      <c r="B29" s="93">
        <v>6.25</v>
      </c>
      <c r="C29" s="93">
        <v>8.16</v>
      </c>
      <c r="D29" s="93">
        <v>1.9</v>
      </c>
      <c r="E29" s="24"/>
      <c r="F29" s="93">
        <f t="shared" si="1"/>
        <v>139.20349999999999</v>
      </c>
      <c r="G29" s="93" t="s">
        <v>120</v>
      </c>
      <c r="H29" s="20"/>
      <c r="I29" s="20"/>
      <c r="J29" s="62" t="s">
        <v>143</v>
      </c>
      <c r="K29" s="44"/>
      <c r="L29" s="44">
        <f t="shared" si="6"/>
        <v>1705.8645000000001</v>
      </c>
      <c r="M29" s="44">
        <f t="shared" si="5"/>
        <v>1140.8644999999999</v>
      </c>
      <c r="N29" s="44" t="str">
        <f t="shared" si="4"/>
        <v>Cr</v>
      </c>
      <c r="O29" s="44"/>
    </row>
    <row r="30" spans="1:21">
      <c r="A30" s="96" t="s">
        <v>144</v>
      </c>
      <c r="B30" s="93">
        <v>7.28</v>
      </c>
      <c r="C30" s="93">
        <v>8.91</v>
      </c>
      <c r="D30" s="93">
        <v>2.1</v>
      </c>
      <c r="E30" s="24"/>
      <c r="F30" s="93">
        <f t="shared" si="1"/>
        <v>174.21600000000004</v>
      </c>
      <c r="G30" s="93" t="s">
        <v>155</v>
      </c>
      <c r="H30" s="20"/>
      <c r="I30" s="20"/>
      <c r="J30" s="62" t="s">
        <v>144</v>
      </c>
      <c r="K30" s="44">
        <v>1310</v>
      </c>
      <c r="L30" s="44">
        <f t="shared" si="6"/>
        <v>1880.0805000000003</v>
      </c>
      <c r="M30" s="44">
        <f t="shared" si="5"/>
        <v>5.0805000000000291</v>
      </c>
      <c r="N30" s="44" t="str">
        <f t="shared" si="4"/>
        <v>Cr</v>
      </c>
      <c r="O30" s="44"/>
    </row>
    <row r="31" spans="1:21">
      <c r="A31" s="96" t="s">
        <v>145</v>
      </c>
      <c r="B31" s="93"/>
      <c r="C31" s="93"/>
      <c r="D31" s="93"/>
      <c r="E31" s="24"/>
      <c r="F31" s="93">
        <f t="shared" si="1"/>
        <v>0</v>
      </c>
      <c r="G31" s="93" t="s">
        <v>120</v>
      </c>
      <c r="H31" s="20"/>
      <c r="I31" s="20"/>
      <c r="J31" s="62" t="s">
        <v>145</v>
      </c>
      <c r="K31" s="44"/>
      <c r="L31" s="44"/>
      <c r="M31" s="44"/>
      <c r="N31" s="44"/>
      <c r="O31" s="44"/>
    </row>
    <row r="32" spans="1:21">
      <c r="A32" s="96" t="s">
        <v>146</v>
      </c>
      <c r="B32" s="93"/>
      <c r="C32" s="93"/>
      <c r="D32" s="93"/>
      <c r="E32" s="24"/>
      <c r="F32" s="93">
        <f t="shared" si="1"/>
        <v>0</v>
      </c>
      <c r="G32" s="93" t="s">
        <v>120</v>
      </c>
      <c r="H32" s="20"/>
      <c r="I32" s="20"/>
      <c r="J32" s="62" t="s">
        <v>146</v>
      </c>
      <c r="K32" s="44"/>
      <c r="L32" s="44"/>
      <c r="M32" s="44"/>
      <c r="N32" s="44"/>
      <c r="O32" s="44"/>
    </row>
    <row r="33" spans="1:15">
      <c r="A33" s="96" t="s">
        <v>147</v>
      </c>
      <c r="B33" s="93"/>
      <c r="C33" s="93"/>
      <c r="D33" s="93"/>
      <c r="E33" s="24"/>
      <c r="F33" s="93">
        <f t="shared" si="1"/>
        <v>0</v>
      </c>
      <c r="G33" s="93" t="s">
        <v>155</v>
      </c>
      <c r="H33" s="20"/>
      <c r="I33" s="20"/>
      <c r="J33" s="62" t="s">
        <v>147</v>
      </c>
      <c r="K33" s="44"/>
      <c r="L33" s="44"/>
      <c r="M33" s="44"/>
      <c r="N33" s="44"/>
      <c r="O33" s="44"/>
    </row>
    <row r="34" spans="1:15">
      <c r="A34" s="96" t="s">
        <v>148</v>
      </c>
      <c r="B34" s="93"/>
      <c r="C34" s="93"/>
      <c r="D34" s="93"/>
      <c r="E34" s="24"/>
      <c r="F34" s="93">
        <f t="shared" si="1"/>
        <v>0</v>
      </c>
      <c r="G34" s="93" t="s">
        <v>120</v>
      </c>
      <c r="H34" s="20"/>
      <c r="I34" s="20"/>
      <c r="J34" s="62" t="s">
        <v>148</v>
      </c>
      <c r="K34" s="44"/>
      <c r="L34" s="44"/>
      <c r="M34" s="44"/>
      <c r="N34" s="44"/>
      <c r="O34" s="44"/>
    </row>
    <row r="35" spans="1:15">
      <c r="A35" s="96" t="s">
        <v>149</v>
      </c>
      <c r="B35" s="93"/>
      <c r="C35" s="93"/>
      <c r="D35" s="93"/>
      <c r="E35" s="24"/>
      <c r="F35" s="93">
        <f t="shared" si="1"/>
        <v>0</v>
      </c>
      <c r="G35" s="93" t="s">
        <v>120</v>
      </c>
      <c r="H35" s="20"/>
      <c r="I35" s="20"/>
      <c r="J35" s="62" t="s">
        <v>149</v>
      </c>
      <c r="K35" s="44"/>
      <c r="L35" s="44"/>
      <c r="M35" s="44"/>
      <c r="N35" s="44"/>
      <c r="O35" s="44"/>
    </row>
    <row r="36" spans="1:15">
      <c r="A36" s="96" t="s">
        <v>150</v>
      </c>
      <c r="B36" s="93"/>
      <c r="C36" s="93"/>
      <c r="D36" s="93"/>
      <c r="E36" s="24"/>
      <c r="F36" s="93">
        <f t="shared" si="1"/>
        <v>0</v>
      </c>
      <c r="G36" s="93" t="s">
        <v>120</v>
      </c>
      <c r="H36" s="20"/>
      <c r="I36" s="20"/>
      <c r="J36" s="62" t="s">
        <v>150</v>
      </c>
      <c r="K36" s="44"/>
      <c r="L36" s="44"/>
      <c r="M36" s="44"/>
      <c r="N36" s="44"/>
      <c r="O36" s="44"/>
    </row>
    <row r="37" spans="1:15">
      <c r="A37" s="96" t="s">
        <v>151</v>
      </c>
      <c r="B37" s="93"/>
      <c r="C37" s="93"/>
      <c r="D37" s="93"/>
      <c r="E37" s="24"/>
      <c r="F37" s="93">
        <f t="shared" si="1"/>
        <v>0</v>
      </c>
      <c r="G37" s="93" t="s">
        <v>120</v>
      </c>
      <c r="H37" s="20"/>
      <c r="I37" s="20"/>
      <c r="J37" s="62" t="s">
        <v>151</v>
      </c>
      <c r="K37" s="44"/>
      <c r="L37" s="44"/>
      <c r="M37" s="44"/>
      <c r="N37" s="44"/>
      <c r="O37" s="44"/>
    </row>
    <row r="38" spans="1:15">
      <c r="A38" s="96" t="s">
        <v>152</v>
      </c>
      <c r="B38" s="93"/>
      <c r="C38" s="93"/>
      <c r="D38" s="93"/>
      <c r="E38" s="24"/>
      <c r="F38" s="93">
        <f t="shared" si="1"/>
        <v>0</v>
      </c>
      <c r="G38" s="93" t="s">
        <v>120</v>
      </c>
      <c r="H38" s="20"/>
      <c r="I38" s="20"/>
      <c r="J38" s="62" t="s">
        <v>152</v>
      </c>
      <c r="K38" s="44"/>
      <c r="L38" s="44"/>
      <c r="M38" s="44"/>
      <c r="N38" s="44"/>
      <c r="O38" s="44"/>
    </row>
    <row r="39" spans="1:15">
      <c r="A39" s="96" t="s">
        <v>153</v>
      </c>
      <c r="B39" s="93"/>
      <c r="C39" s="93"/>
      <c r="D39" s="93"/>
      <c r="E39" s="24"/>
      <c r="F39" s="93">
        <f t="shared" si="1"/>
        <v>0</v>
      </c>
      <c r="G39" s="93" t="s">
        <v>120</v>
      </c>
      <c r="H39" s="20"/>
      <c r="I39" s="20"/>
      <c r="J39" s="62" t="s">
        <v>153</v>
      </c>
      <c r="K39" s="44"/>
      <c r="L39" s="44"/>
      <c r="M39" s="44"/>
      <c r="N39" s="44"/>
      <c r="O39" s="44"/>
    </row>
    <row r="40" spans="1:15">
      <c r="A40" s="96" t="s">
        <v>154</v>
      </c>
      <c r="B40" s="93"/>
      <c r="C40" s="93"/>
      <c r="D40" s="93"/>
      <c r="E40" s="24"/>
      <c r="F40" s="93">
        <f t="shared" si="1"/>
        <v>0</v>
      </c>
      <c r="G40" s="93" t="s">
        <v>120</v>
      </c>
      <c r="H40" s="20"/>
      <c r="I40" s="20"/>
      <c r="J40" s="62" t="s">
        <v>154</v>
      </c>
      <c r="K40" s="44"/>
      <c r="L40" s="86"/>
      <c r="M40" s="44"/>
      <c r="N40" s="44"/>
      <c r="O40" s="44"/>
    </row>
    <row r="41" spans="1:15">
      <c r="A41" s="96" t="s">
        <v>156</v>
      </c>
      <c r="B41" s="93"/>
      <c r="C41" s="93"/>
      <c r="D41" s="93"/>
      <c r="E41" s="24"/>
      <c r="F41" s="93"/>
      <c r="G41" s="93"/>
      <c r="H41" s="20"/>
      <c r="I41" s="20"/>
      <c r="J41" s="62" t="s">
        <v>156</v>
      </c>
      <c r="K41" s="155"/>
      <c r="L41" s="44"/>
      <c r="M41" s="64"/>
      <c r="N41" s="44"/>
      <c r="O41" s="44"/>
    </row>
    <row r="42" spans="1:15">
      <c r="A42" s="96" t="s">
        <v>157</v>
      </c>
      <c r="B42" s="93"/>
      <c r="C42" s="93"/>
      <c r="D42" s="93"/>
      <c r="E42" s="24"/>
      <c r="F42" s="93"/>
      <c r="G42" s="93"/>
      <c r="H42" s="20"/>
      <c r="I42" s="20"/>
      <c r="J42" s="62" t="s">
        <v>157</v>
      </c>
      <c r="K42" s="155"/>
      <c r="L42" s="44"/>
      <c r="M42" s="64"/>
      <c r="N42" s="44"/>
      <c r="O42" s="44"/>
    </row>
    <row r="43" spans="1:15">
      <c r="A43" s="96" t="s">
        <v>158</v>
      </c>
      <c r="B43" s="93"/>
      <c r="C43" s="93"/>
      <c r="D43" s="93"/>
      <c r="E43" s="24"/>
      <c r="F43" s="93"/>
      <c r="G43" s="93"/>
      <c r="H43" s="20"/>
      <c r="I43" s="20"/>
      <c r="J43" s="62" t="s">
        <v>158</v>
      </c>
      <c r="K43" s="44"/>
      <c r="L43" s="161"/>
      <c r="M43" s="44"/>
      <c r="N43" s="44"/>
      <c r="O43" s="44"/>
    </row>
    <row r="44" spans="1:15">
      <c r="A44" s="96" t="s">
        <v>159</v>
      </c>
      <c r="B44" s="93"/>
      <c r="C44" s="93"/>
      <c r="D44" s="93"/>
      <c r="E44" s="24"/>
      <c r="F44" s="93"/>
      <c r="G44" s="93"/>
      <c r="H44" s="20"/>
      <c r="I44" s="20"/>
      <c r="J44" s="62" t="s">
        <v>159</v>
      </c>
      <c r="K44" s="44"/>
      <c r="L44" s="44"/>
      <c r="M44" s="44"/>
      <c r="N44" s="44"/>
      <c r="O44" s="44"/>
    </row>
    <row r="45" spans="1:15">
      <c r="A45" s="96" t="s">
        <v>160</v>
      </c>
      <c r="B45" s="93"/>
      <c r="C45" s="93"/>
      <c r="D45" s="93"/>
      <c r="E45" s="24"/>
      <c r="F45" s="93"/>
      <c r="G45" s="93"/>
      <c r="H45" s="20"/>
      <c r="I45" s="20"/>
      <c r="J45" s="62" t="s">
        <v>160</v>
      </c>
      <c r="K45" s="44"/>
      <c r="L45" s="44"/>
      <c r="M45" s="44"/>
      <c r="N45" s="44"/>
      <c r="O45" s="44"/>
    </row>
    <row r="46" spans="1:15">
      <c r="A46" s="96" t="s">
        <v>161</v>
      </c>
      <c r="B46" s="93"/>
      <c r="C46" s="93"/>
      <c r="D46" s="93"/>
      <c r="E46" s="24"/>
      <c r="F46" s="93"/>
      <c r="G46" s="93"/>
      <c r="H46" s="20"/>
      <c r="I46" s="20"/>
      <c r="J46" s="62" t="s">
        <v>161</v>
      </c>
      <c r="K46" s="44"/>
      <c r="L46" s="44"/>
      <c r="M46" s="44"/>
      <c r="N46" s="44"/>
      <c r="O46" s="44"/>
    </row>
    <row r="47" spans="1:15">
      <c r="A47" s="96" t="s">
        <v>162</v>
      </c>
      <c r="B47" s="99"/>
      <c r="C47" s="99"/>
      <c r="D47" s="99"/>
      <c r="E47" s="80"/>
      <c r="F47" s="99"/>
      <c r="G47" s="99"/>
      <c r="H47" s="20"/>
      <c r="I47" s="20"/>
      <c r="J47" s="79" t="s">
        <v>162</v>
      </c>
      <c r="K47" s="86"/>
      <c r="L47" s="86"/>
      <c r="M47" s="86"/>
      <c r="N47" s="86"/>
      <c r="O47" s="86"/>
    </row>
    <row r="48" spans="1:15">
      <c r="A48" s="157" t="s">
        <v>163</v>
      </c>
      <c r="B48" s="44"/>
      <c r="C48" s="44"/>
      <c r="D48" s="44"/>
      <c r="E48" s="44"/>
      <c r="F48" s="44"/>
      <c r="G48" s="44"/>
      <c r="J48" s="44"/>
      <c r="K48" s="44"/>
      <c r="L48" s="44"/>
      <c r="M48" s="44"/>
      <c r="N48" s="44"/>
      <c r="O48" s="44"/>
    </row>
    <row r="49" spans="1:15">
      <c r="A49" s="157" t="s">
        <v>164</v>
      </c>
      <c r="B49" s="44"/>
      <c r="C49" s="44"/>
      <c r="D49" s="44"/>
      <c r="E49" s="44"/>
      <c r="F49" s="44"/>
      <c r="G49" s="44"/>
      <c r="J49" s="44"/>
      <c r="K49" s="44"/>
      <c r="L49" s="44"/>
      <c r="M49" s="44"/>
      <c r="N49" s="44"/>
      <c r="O49" s="44"/>
    </row>
    <row r="50" spans="1:15">
      <c r="A50" s="157" t="s">
        <v>165</v>
      </c>
      <c r="B50" s="44"/>
      <c r="C50" s="44"/>
      <c r="D50" s="44"/>
      <c r="E50" s="44"/>
      <c r="F50" s="44"/>
      <c r="G50" s="44"/>
      <c r="J50" s="44"/>
      <c r="K50" s="44"/>
      <c r="L50" s="44"/>
      <c r="M50" s="44"/>
      <c r="N50" s="44"/>
      <c r="O50" s="44"/>
    </row>
    <row r="51" spans="1:15">
      <c r="A51" s="157" t="s">
        <v>166</v>
      </c>
      <c r="B51" s="44"/>
      <c r="C51" s="44"/>
      <c r="D51" s="44"/>
      <c r="E51" s="44"/>
      <c r="F51" s="44"/>
      <c r="G51" s="44"/>
      <c r="J51" s="44"/>
      <c r="K51" s="44"/>
      <c r="L51" s="44"/>
      <c r="M51" s="44"/>
      <c r="N51" s="44"/>
      <c r="O51" s="44"/>
    </row>
    <row r="52" spans="1:15">
      <c r="A52" s="157" t="s">
        <v>167</v>
      </c>
      <c r="B52" s="44"/>
      <c r="C52" s="44"/>
      <c r="D52" s="44"/>
      <c r="E52" s="44"/>
      <c r="F52" s="44"/>
      <c r="G52" s="44"/>
      <c r="J52" s="44"/>
      <c r="K52" s="44"/>
      <c r="L52" s="44"/>
      <c r="M52" s="44"/>
      <c r="N52" s="44"/>
      <c r="O52" s="44"/>
    </row>
    <row r="53" spans="1:15">
      <c r="A53" s="157" t="s">
        <v>168</v>
      </c>
      <c r="B53" s="44"/>
      <c r="C53" s="44"/>
      <c r="D53" s="44"/>
      <c r="E53" s="44"/>
      <c r="F53" s="44"/>
      <c r="G53" s="44"/>
      <c r="J53" s="44"/>
      <c r="K53" s="44"/>
      <c r="L53" s="44"/>
      <c r="M53" s="44"/>
      <c r="N53" s="44"/>
      <c r="O53" s="44"/>
    </row>
    <row r="54" spans="1:15">
      <c r="A54" s="157" t="s">
        <v>212</v>
      </c>
      <c r="B54" s="44"/>
      <c r="C54" s="44"/>
      <c r="D54" s="44"/>
      <c r="E54" s="44"/>
      <c r="F54" s="44"/>
      <c r="G54" s="44"/>
      <c r="J54" s="44"/>
      <c r="K54" s="44"/>
      <c r="L54" s="44"/>
      <c r="M54" s="44"/>
      <c r="N54" s="44"/>
      <c r="O54" s="44"/>
    </row>
    <row r="55" spans="1:15">
      <c r="A55" s="157" t="s">
        <v>213</v>
      </c>
      <c r="B55" s="44"/>
      <c r="C55" s="44"/>
      <c r="D55" s="44"/>
      <c r="E55" s="44"/>
      <c r="F55" s="44"/>
      <c r="G55" s="44"/>
      <c r="J55" s="44"/>
      <c r="K55" s="44"/>
      <c r="L55" s="44"/>
      <c r="M55" s="44"/>
      <c r="N55" s="44"/>
      <c r="O55" s="44"/>
    </row>
    <row r="56" spans="1:15">
      <c r="A56" s="157" t="s">
        <v>214</v>
      </c>
      <c r="B56" s="44"/>
      <c r="C56" s="44"/>
      <c r="D56" s="44"/>
      <c r="E56" s="44"/>
      <c r="F56" s="44"/>
      <c r="G56" s="44"/>
      <c r="J56" s="44"/>
      <c r="K56" s="44"/>
      <c r="L56" s="44"/>
      <c r="M56" s="44"/>
      <c r="N56" s="44"/>
      <c r="O56" s="44"/>
    </row>
    <row r="57" spans="1:15">
      <c r="A57" s="157" t="s">
        <v>215</v>
      </c>
      <c r="B57" s="44"/>
      <c r="C57" s="44"/>
      <c r="D57" s="44"/>
      <c r="E57" s="44"/>
      <c r="F57" s="44"/>
      <c r="G57" s="44"/>
      <c r="J57" s="44"/>
      <c r="K57" s="44"/>
      <c r="L57" s="44"/>
      <c r="M57" s="44"/>
      <c r="N57" s="44"/>
      <c r="O57" s="44"/>
    </row>
    <row r="58" spans="1:15">
      <c r="A58" s="157" t="s">
        <v>216</v>
      </c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</row>
    <row r="59" spans="1:15">
      <c r="A59" s="157" t="s">
        <v>217</v>
      </c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218</v>
      </c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219</v>
      </c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220</v>
      </c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221</v>
      </c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222</v>
      </c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223</v>
      </c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224</v>
      </c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225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226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18" display="Bas11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230</v>
      </c>
      <c r="B3" s="51"/>
      <c r="C3" s="51"/>
      <c r="F3" s="52" t="s">
        <v>106</v>
      </c>
      <c r="G3" s="53">
        <v>9845384785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47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53" si="0">(B8*6.5+C8*4)</f>
        <v>0</v>
      </c>
      <c r="F8" s="24">
        <f t="shared" ref="F8:F53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5360.7739999999985</v>
      </c>
      <c r="R8" s="44">
        <f>SUM(K8:K48)</f>
        <v>3746.5145000000002</v>
      </c>
      <c r="S8" s="44">
        <f>(Q8-R8)</f>
        <v>1614.2594999999983</v>
      </c>
      <c r="T8" s="44">
        <f>SUM(D8:D47)</f>
        <v>61.98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5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0"/>
        <v>0</v>
      </c>
      <c r="F21" s="93">
        <f t="shared" si="1"/>
        <v>0</v>
      </c>
      <c r="G21" s="93" t="s">
        <v>120</v>
      </c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0"/>
        <v>0</v>
      </c>
      <c r="F22" s="93">
        <f t="shared" si="1"/>
        <v>0</v>
      </c>
      <c r="G22" s="93" t="s">
        <v>120</v>
      </c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>
        <v>7.17</v>
      </c>
      <c r="C23" s="93">
        <v>9.6</v>
      </c>
      <c r="D23" s="93">
        <v>2.9</v>
      </c>
      <c r="E23" s="24">
        <f t="shared" si="0"/>
        <v>85.004999999999995</v>
      </c>
      <c r="F23" s="93">
        <f t="shared" si="1"/>
        <v>246.51449999999997</v>
      </c>
      <c r="G23" s="93" t="s">
        <v>120</v>
      </c>
      <c r="H23" s="20"/>
      <c r="I23" s="20"/>
      <c r="J23" s="96" t="s">
        <v>136</v>
      </c>
      <c r="K23" s="44">
        <v>246.5145</v>
      </c>
      <c r="L23" s="44">
        <f t="shared" si="2"/>
        <v>246.51449999999997</v>
      </c>
      <c r="M23" s="44">
        <f t="shared" ref="M23:M53" si="5">(M22+F23-K23)</f>
        <v>-2.8421709430404007E-14</v>
      </c>
      <c r="N23" s="44" t="str">
        <f t="shared" si="4"/>
        <v>Dr</v>
      </c>
      <c r="O23" s="44"/>
    </row>
    <row r="24" spans="1:21">
      <c r="A24" s="73" t="s">
        <v>138</v>
      </c>
      <c r="B24" s="75">
        <v>6.75</v>
      </c>
      <c r="C24" s="75">
        <v>9</v>
      </c>
      <c r="D24" s="75">
        <v>2.9</v>
      </c>
      <c r="E24" s="75">
        <f t="shared" si="0"/>
        <v>79.875</v>
      </c>
      <c r="F24" s="75">
        <f t="shared" si="1"/>
        <v>231.63749999999999</v>
      </c>
      <c r="G24" s="75" t="s">
        <v>120</v>
      </c>
      <c r="H24" s="20"/>
      <c r="I24" s="20"/>
      <c r="J24" s="73" t="s">
        <v>138</v>
      </c>
      <c r="K24" s="78"/>
      <c r="L24" s="78">
        <f t="shared" si="2"/>
        <v>478.15199999999993</v>
      </c>
      <c r="M24" s="78">
        <f t="shared" si="5"/>
        <v>231.63749999999996</v>
      </c>
      <c r="N24" s="78" t="str">
        <f t="shared" si="4"/>
        <v>Cr</v>
      </c>
      <c r="O24" s="78"/>
    </row>
    <row r="25" spans="1:21">
      <c r="A25" s="96" t="s">
        <v>139</v>
      </c>
      <c r="B25" s="93">
        <v>7.24</v>
      </c>
      <c r="C25" s="93">
        <v>9.6999999999999993</v>
      </c>
      <c r="D25" s="93">
        <v>3.2</v>
      </c>
      <c r="E25" s="24">
        <f t="shared" si="0"/>
        <v>85.86</v>
      </c>
      <c r="F25" s="93">
        <f t="shared" si="1"/>
        <v>274.75200000000001</v>
      </c>
      <c r="G25" s="93" t="s">
        <v>120</v>
      </c>
      <c r="H25" s="20"/>
      <c r="I25" s="20"/>
      <c r="J25" s="96" t="s">
        <v>139</v>
      </c>
      <c r="K25" s="44"/>
      <c r="L25" s="44">
        <f t="shared" si="2"/>
        <v>752.904</v>
      </c>
      <c r="M25" s="44">
        <f t="shared" si="5"/>
        <v>506.3895</v>
      </c>
      <c r="N25" s="44" t="str">
        <f t="shared" si="4"/>
        <v>Cr</v>
      </c>
      <c r="O25" s="44"/>
    </row>
    <row r="26" spans="1:21">
      <c r="A26" s="96" t="s">
        <v>140</v>
      </c>
      <c r="B26" s="93">
        <v>6.66</v>
      </c>
      <c r="C26" s="93">
        <v>9.5</v>
      </c>
      <c r="D26" s="93">
        <v>2.7</v>
      </c>
      <c r="E26" s="24">
        <f t="shared" si="0"/>
        <v>81.289999999999992</v>
      </c>
      <c r="F26" s="93">
        <f t="shared" si="1"/>
        <v>219.483</v>
      </c>
      <c r="G26" s="93" t="s">
        <v>120</v>
      </c>
      <c r="H26" s="20"/>
      <c r="I26" s="20"/>
      <c r="J26" s="96" t="s">
        <v>140</v>
      </c>
      <c r="K26" s="44"/>
      <c r="L26" s="44">
        <f t="shared" si="2"/>
        <v>972.38699999999994</v>
      </c>
      <c r="M26" s="44">
        <f t="shared" si="5"/>
        <v>725.87249999999995</v>
      </c>
      <c r="N26" s="44" t="str">
        <f t="shared" si="4"/>
        <v>Cr</v>
      </c>
      <c r="O26" s="44"/>
    </row>
    <row r="27" spans="1:21">
      <c r="A27" s="96" t="s">
        <v>141</v>
      </c>
      <c r="B27" s="93">
        <v>6.22</v>
      </c>
      <c r="C27" s="93">
        <v>9.7100000000000009</v>
      </c>
      <c r="D27" s="93">
        <v>3.1</v>
      </c>
      <c r="E27" s="93">
        <f t="shared" si="0"/>
        <v>79.27000000000001</v>
      </c>
      <c r="F27" s="93">
        <f t="shared" si="1"/>
        <v>245.73700000000005</v>
      </c>
      <c r="G27" s="93" t="s">
        <v>155</v>
      </c>
      <c r="H27" s="20"/>
      <c r="I27" s="20"/>
      <c r="J27" s="96" t="s">
        <v>141</v>
      </c>
      <c r="K27" s="44"/>
      <c r="L27" s="44">
        <f t="shared" si="2"/>
        <v>1218.124</v>
      </c>
      <c r="M27" s="44">
        <f t="shared" si="5"/>
        <v>971.60950000000003</v>
      </c>
      <c r="N27" s="44" t="str">
        <f t="shared" si="4"/>
        <v>Cr</v>
      </c>
      <c r="O27" s="44"/>
    </row>
    <row r="28" spans="1:21">
      <c r="A28" s="96" t="s">
        <v>142</v>
      </c>
      <c r="B28" s="93">
        <v>6.68</v>
      </c>
      <c r="C28" s="93">
        <v>9.34</v>
      </c>
      <c r="D28" s="93">
        <v>3.3</v>
      </c>
      <c r="E28" s="24">
        <f t="shared" si="0"/>
        <v>80.78</v>
      </c>
      <c r="F28" s="93">
        <f t="shared" si="1"/>
        <v>266.57400000000001</v>
      </c>
      <c r="G28" s="93" t="s">
        <v>120</v>
      </c>
      <c r="H28" s="20"/>
      <c r="I28" s="20"/>
      <c r="J28" s="96" t="s">
        <v>142</v>
      </c>
      <c r="K28" s="44"/>
      <c r="L28" s="44">
        <f t="shared" si="2"/>
        <v>1484.6980000000001</v>
      </c>
      <c r="M28" s="44">
        <f t="shared" si="5"/>
        <v>1238.1835000000001</v>
      </c>
      <c r="N28" s="44" t="str">
        <f t="shared" si="4"/>
        <v>Cr</v>
      </c>
      <c r="O28" s="44"/>
    </row>
    <row r="29" spans="1:21">
      <c r="A29" s="96" t="s">
        <v>143</v>
      </c>
      <c r="B29" s="93">
        <v>6.47</v>
      </c>
      <c r="C29" s="93">
        <v>9.48</v>
      </c>
      <c r="D29" s="93">
        <v>2.9</v>
      </c>
      <c r="E29" s="24">
        <f t="shared" si="0"/>
        <v>79.974999999999994</v>
      </c>
      <c r="F29" s="93">
        <f t="shared" si="1"/>
        <v>231.92749999999998</v>
      </c>
      <c r="G29" s="93" t="s">
        <v>120</v>
      </c>
      <c r="H29" s="20"/>
      <c r="I29" s="20"/>
      <c r="J29" s="96" t="s">
        <v>143</v>
      </c>
      <c r="K29" s="44"/>
      <c r="L29" s="44">
        <f t="shared" si="2"/>
        <v>1716.6255000000001</v>
      </c>
      <c r="M29" s="44">
        <f t="shared" si="5"/>
        <v>1470.1110000000001</v>
      </c>
      <c r="N29" s="44" t="str">
        <f t="shared" si="4"/>
        <v>Cr</v>
      </c>
      <c r="O29" s="44"/>
    </row>
    <row r="30" spans="1:21">
      <c r="A30" s="96" t="s">
        <v>144</v>
      </c>
      <c r="B30" s="93">
        <v>7.13</v>
      </c>
      <c r="C30" s="93">
        <v>9.36</v>
      </c>
      <c r="D30" s="93">
        <v>2.8</v>
      </c>
      <c r="E30" s="24">
        <f t="shared" si="0"/>
        <v>83.784999999999997</v>
      </c>
      <c r="F30" s="93">
        <f t="shared" si="1"/>
        <v>234.59799999999998</v>
      </c>
      <c r="G30" s="93" t="s">
        <v>155</v>
      </c>
      <c r="H30" s="20"/>
      <c r="I30" s="20"/>
      <c r="J30" s="96" t="s">
        <v>144</v>
      </c>
      <c r="K30" s="44"/>
      <c r="L30" s="44">
        <f t="shared" si="2"/>
        <v>1951.2235000000001</v>
      </c>
      <c r="M30" s="44">
        <f t="shared" si="5"/>
        <v>1704.7090000000001</v>
      </c>
      <c r="N30" s="44" t="str">
        <f t="shared" si="4"/>
        <v>Cr</v>
      </c>
      <c r="O30" s="44"/>
    </row>
    <row r="31" spans="1:21">
      <c r="A31" s="96" t="s">
        <v>145</v>
      </c>
      <c r="B31" s="93">
        <v>7.31</v>
      </c>
      <c r="C31" s="93">
        <v>10</v>
      </c>
      <c r="D31" s="93">
        <v>3.1</v>
      </c>
      <c r="E31" s="24">
        <f t="shared" si="0"/>
        <v>87.515000000000001</v>
      </c>
      <c r="F31" s="93">
        <f t="shared" si="1"/>
        <v>271.29650000000004</v>
      </c>
      <c r="G31" s="93" t="s">
        <v>120</v>
      </c>
      <c r="H31" s="20"/>
      <c r="I31" s="20"/>
      <c r="J31" s="96" t="s">
        <v>145</v>
      </c>
      <c r="K31" s="44"/>
      <c r="L31" s="44">
        <f t="shared" si="2"/>
        <v>2222.52</v>
      </c>
      <c r="M31" s="44">
        <f t="shared" si="5"/>
        <v>1976.0055000000002</v>
      </c>
      <c r="N31" s="44" t="str">
        <f t="shared" si="4"/>
        <v>Cr</v>
      </c>
      <c r="O31" s="44"/>
    </row>
    <row r="32" spans="1:21">
      <c r="A32" s="96" t="s">
        <v>146</v>
      </c>
      <c r="B32" s="93">
        <v>7.23</v>
      </c>
      <c r="C32" s="93">
        <v>8.6300000000000008</v>
      </c>
      <c r="D32" s="93">
        <v>2.7</v>
      </c>
      <c r="E32" s="24">
        <f t="shared" si="0"/>
        <v>81.515000000000015</v>
      </c>
      <c r="F32" s="93">
        <f t="shared" si="1"/>
        <v>220.09050000000005</v>
      </c>
      <c r="G32" s="93" t="s">
        <v>120</v>
      </c>
      <c r="H32" s="20"/>
      <c r="I32" s="20"/>
      <c r="J32" s="96" t="s">
        <v>146</v>
      </c>
      <c r="K32" s="44"/>
      <c r="L32" s="44">
        <f t="shared" si="2"/>
        <v>2442.6105000000002</v>
      </c>
      <c r="M32" s="44">
        <f t="shared" si="5"/>
        <v>2196.0960000000005</v>
      </c>
      <c r="N32" s="44" t="str">
        <f t="shared" si="4"/>
        <v>Cr</v>
      </c>
      <c r="O32" s="44"/>
    </row>
    <row r="33" spans="1:15">
      <c r="A33" s="96" t="s">
        <v>147</v>
      </c>
      <c r="B33" s="93">
        <v>7.23</v>
      </c>
      <c r="C33" s="93">
        <v>8.6300000000000008</v>
      </c>
      <c r="D33" s="93">
        <v>3.6</v>
      </c>
      <c r="E33" s="24">
        <f t="shared" si="0"/>
        <v>81.515000000000015</v>
      </c>
      <c r="F33" s="93">
        <f t="shared" si="1"/>
        <v>293.45400000000006</v>
      </c>
      <c r="G33" s="93" t="s">
        <v>155</v>
      </c>
      <c r="H33" s="20"/>
      <c r="I33" s="20"/>
      <c r="J33" s="96" t="s">
        <v>147</v>
      </c>
      <c r="K33" s="44">
        <v>3500</v>
      </c>
      <c r="L33" s="44">
        <f t="shared" si="2"/>
        <v>2736.0645000000004</v>
      </c>
      <c r="M33" s="44">
        <f t="shared" si="5"/>
        <v>-1010.4499999999994</v>
      </c>
      <c r="N33" s="44" t="str">
        <f t="shared" si="4"/>
        <v>Dr</v>
      </c>
      <c r="O33" s="44"/>
    </row>
    <row r="34" spans="1:15">
      <c r="A34" s="96" t="s">
        <v>148</v>
      </c>
      <c r="B34" s="93">
        <v>6.76</v>
      </c>
      <c r="C34" s="93">
        <v>8.92</v>
      </c>
      <c r="D34" s="93">
        <v>1.2</v>
      </c>
      <c r="E34" s="24">
        <f t="shared" si="0"/>
        <v>79.62</v>
      </c>
      <c r="F34" s="93">
        <f t="shared" si="1"/>
        <v>95.543999999999997</v>
      </c>
      <c r="G34" s="93" t="s">
        <v>120</v>
      </c>
      <c r="H34" s="20"/>
      <c r="I34" s="20"/>
      <c r="J34" s="96" t="s">
        <v>148</v>
      </c>
      <c r="K34" s="44"/>
      <c r="L34" s="44">
        <f t="shared" si="2"/>
        <v>2831.6085000000003</v>
      </c>
      <c r="M34" s="44">
        <f t="shared" si="5"/>
        <v>-914.90599999999938</v>
      </c>
      <c r="N34" s="44" t="str">
        <f t="shared" si="4"/>
        <v>Dr</v>
      </c>
      <c r="O34" s="44"/>
    </row>
    <row r="35" spans="1:15">
      <c r="A35" s="96" t="s">
        <v>149</v>
      </c>
      <c r="B35" s="93">
        <v>6.09</v>
      </c>
      <c r="C35" s="93">
        <v>9.31</v>
      </c>
      <c r="D35" s="93">
        <v>3.16</v>
      </c>
      <c r="E35" s="24">
        <f t="shared" si="0"/>
        <v>76.825000000000003</v>
      </c>
      <c r="F35" s="93">
        <f t="shared" si="1"/>
        <v>242.76700000000002</v>
      </c>
      <c r="G35" s="93" t="s">
        <v>120</v>
      </c>
      <c r="H35" s="20"/>
      <c r="I35" s="20"/>
      <c r="J35" s="96" t="s">
        <v>149</v>
      </c>
      <c r="K35" s="44"/>
      <c r="L35" s="44">
        <f t="shared" si="2"/>
        <v>3074.3755000000001</v>
      </c>
      <c r="M35" s="44">
        <f t="shared" si="5"/>
        <v>-672.13899999999933</v>
      </c>
      <c r="N35" s="44" t="str">
        <f t="shared" si="4"/>
        <v>Dr</v>
      </c>
      <c r="O35" s="44"/>
    </row>
    <row r="36" spans="1:15">
      <c r="A36" s="96" t="s">
        <v>150</v>
      </c>
      <c r="B36" s="93">
        <v>6.13</v>
      </c>
      <c r="C36" s="93">
        <v>9.61</v>
      </c>
      <c r="D36" s="93">
        <v>2.9</v>
      </c>
      <c r="E36" s="24">
        <f t="shared" si="0"/>
        <v>78.284999999999997</v>
      </c>
      <c r="F36" s="93">
        <f t="shared" si="1"/>
        <v>227.02649999999997</v>
      </c>
      <c r="G36" s="93" t="s">
        <v>120</v>
      </c>
      <c r="H36" s="20"/>
      <c r="I36" s="20"/>
      <c r="J36" s="96" t="s">
        <v>150</v>
      </c>
      <c r="K36" s="44"/>
      <c r="L36" s="44">
        <f t="shared" si="2"/>
        <v>3301.402</v>
      </c>
      <c r="M36" s="44">
        <f t="shared" si="5"/>
        <v>-445.11249999999939</v>
      </c>
      <c r="N36" s="44" t="str">
        <f t="shared" si="4"/>
        <v>Dr</v>
      </c>
      <c r="O36" s="44"/>
    </row>
    <row r="37" spans="1:15">
      <c r="A37" s="96" t="s">
        <v>151</v>
      </c>
      <c r="B37" s="93">
        <v>6.19</v>
      </c>
      <c r="C37" s="93">
        <v>9.8000000000000007</v>
      </c>
      <c r="D37" s="93">
        <v>3</v>
      </c>
      <c r="E37" s="24">
        <f t="shared" si="0"/>
        <v>79.435000000000002</v>
      </c>
      <c r="F37" s="93">
        <f t="shared" si="1"/>
        <v>238.30500000000001</v>
      </c>
      <c r="G37" s="93" t="s">
        <v>120</v>
      </c>
      <c r="H37" s="20"/>
      <c r="I37" s="20"/>
      <c r="J37" s="96" t="s">
        <v>151</v>
      </c>
      <c r="K37" s="44"/>
      <c r="L37" s="44">
        <f t="shared" si="2"/>
        <v>3539.7069999999999</v>
      </c>
      <c r="M37" s="44">
        <f t="shared" si="5"/>
        <v>-206.80749999999938</v>
      </c>
      <c r="N37" s="44" t="str">
        <f t="shared" si="4"/>
        <v>Dr</v>
      </c>
      <c r="O37" s="44"/>
    </row>
    <row r="38" spans="1:15">
      <c r="A38" s="96" t="s">
        <v>152</v>
      </c>
      <c r="B38" s="93">
        <v>6</v>
      </c>
      <c r="C38" s="93">
        <v>9.9</v>
      </c>
      <c r="D38" s="93">
        <v>2.12</v>
      </c>
      <c r="E38" s="24">
        <f t="shared" si="0"/>
        <v>78.599999999999994</v>
      </c>
      <c r="F38" s="93">
        <f t="shared" si="1"/>
        <v>166.63200000000001</v>
      </c>
      <c r="G38" s="93" t="s">
        <v>120</v>
      </c>
      <c r="H38" s="20"/>
      <c r="I38" s="20"/>
      <c r="J38" s="96" t="s">
        <v>152</v>
      </c>
      <c r="K38" s="44"/>
      <c r="L38" s="44">
        <f t="shared" si="2"/>
        <v>3706.3389999999999</v>
      </c>
      <c r="M38" s="44">
        <f t="shared" si="5"/>
        <v>-40.175499999999374</v>
      </c>
      <c r="N38" s="44" t="str">
        <f t="shared" si="4"/>
        <v>Dr</v>
      </c>
      <c r="O38" s="44"/>
    </row>
    <row r="39" spans="1:15">
      <c r="A39" s="167" t="s">
        <v>153</v>
      </c>
      <c r="B39" s="168"/>
      <c r="C39" s="168"/>
      <c r="D39" s="168"/>
      <c r="E39" s="168">
        <f t="shared" si="0"/>
        <v>0</v>
      </c>
      <c r="F39" s="168">
        <f t="shared" si="1"/>
        <v>0</v>
      </c>
      <c r="G39" s="168" t="s">
        <v>155</v>
      </c>
      <c r="H39" s="20"/>
      <c r="I39" s="20"/>
      <c r="J39" s="167" t="s">
        <v>153</v>
      </c>
      <c r="K39" s="44"/>
      <c r="L39" s="44">
        <f t="shared" si="2"/>
        <v>3706.3389999999999</v>
      </c>
      <c r="M39" s="44">
        <f t="shared" si="5"/>
        <v>-40.175499999999374</v>
      </c>
      <c r="N39" s="44" t="str">
        <f t="shared" si="4"/>
        <v>Dr</v>
      </c>
      <c r="O39" s="44"/>
    </row>
    <row r="40" spans="1:15">
      <c r="A40" s="96" t="s">
        <v>154</v>
      </c>
      <c r="B40" s="93">
        <v>6.7</v>
      </c>
      <c r="C40" s="93">
        <v>9.5</v>
      </c>
      <c r="D40" s="93">
        <v>3</v>
      </c>
      <c r="E40" s="24">
        <f t="shared" si="0"/>
        <v>81.550000000000011</v>
      </c>
      <c r="F40" s="93">
        <f t="shared" si="1"/>
        <v>244.65000000000003</v>
      </c>
      <c r="G40" s="93" t="s">
        <v>120</v>
      </c>
      <c r="H40" s="20"/>
      <c r="I40" s="20"/>
      <c r="J40" s="96" t="s">
        <v>154</v>
      </c>
      <c r="K40" s="44"/>
      <c r="L40" s="44">
        <f t="shared" si="2"/>
        <v>3950.989</v>
      </c>
      <c r="M40" s="44">
        <f t="shared" si="5"/>
        <v>204.47450000000066</v>
      </c>
      <c r="N40" s="44" t="str">
        <f t="shared" si="4"/>
        <v>Cr</v>
      </c>
      <c r="O40" s="44"/>
    </row>
    <row r="41" spans="1:15">
      <c r="A41" s="96" t="s">
        <v>156</v>
      </c>
      <c r="B41" s="93">
        <v>5</v>
      </c>
      <c r="C41" s="93">
        <v>6.2</v>
      </c>
      <c r="D41" s="93">
        <v>3.3</v>
      </c>
      <c r="E41" s="24">
        <f t="shared" si="0"/>
        <v>57.3</v>
      </c>
      <c r="F41" s="93">
        <f t="shared" si="1"/>
        <v>189.08999999999997</v>
      </c>
      <c r="G41" s="93" t="s">
        <v>120</v>
      </c>
      <c r="H41" s="20"/>
      <c r="I41" s="20"/>
      <c r="J41" s="96" t="s">
        <v>156</v>
      </c>
      <c r="K41" s="155"/>
      <c r="L41" s="44">
        <f t="shared" si="2"/>
        <v>4140.0789999999997</v>
      </c>
      <c r="M41" s="44">
        <f t="shared" si="5"/>
        <v>393.56450000000063</v>
      </c>
      <c r="N41" s="44" t="str">
        <f t="shared" si="4"/>
        <v>Cr</v>
      </c>
      <c r="O41" s="44"/>
    </row>
    <row r="42" spans="1:15">
      <c r="A42" s="96" t="s">
        <v>157</v>
      </c>
      <c r="B42" s="93">
        <v>5.0999999999999996</v>
      </c>
      <c r="C42" s="93">
        <v>7.4</v>
      </c>
      <c r="D42" s="93">
        <v>3.1</v>
      </c>
      <c r="E42" s="24">
        <f t="shared" si="0"/>
        <v>62.75</v>
      </c>
      <c r="F42" s="93">
        <f t="shared" si="1"/>
        <v>194.52500000000001</v>
      </c>
      <c r="G42" s="93" t="s">
        <v>120</v>
      </c>
      <c r="H42" s="20"/>
      <c r="I42" s="20"/>
      <c r="J42" s="96" t="s">
        <v>157</v>
      </c>
      <c r="K42" s="155"/>
      <c r="L42" s="44">
        <f t="shared" si="2"/>
        <v>4334.6039999999994</v>
      </c>
      <c r="M42" s="44">
        <f t="shared" si="5"/>
        <v>588.08950000000061</v>
      </c>
      <c r="N42" s="44" t="str">
        <f t="shared" si="4"/>
        <v>Cr</v>
      </c>
      <c r="O42" s="44"/>
    </row>
    <row r="43" spans="1:15">
      <c r="A43" s="96" t="s">
        <v>158</v>
      </c>
      <c r="B43" s="93">
        <v>5.0999999999999996</v>
      </c>
      <c r="C43" s="93">
        <v>8</v>
      </c>
      <c r="D43" s="93">
        <v>2.8</v>
      </c>
      <c r="E43" s="24">
        <f t="shared" si="0"/>
        <v>65.150000000000006</v>
      </c>
      <c r="F43" s="93">
        <f t="shared" si="1"/>
        <v>182.42000000000002</v>
      </c>
      <c r="G43" s="93" t="s">
        <v>120</v>
      </c>
      <c r="H43" s="20"/>
      <c r="I43" s="20"/>
      <c r="J43" s="96" t="s">
        <v>158</v>
      </c>
      <c r="K43" s="44"/>
      <c r="L43" s="44">
        <f t="shared" si="2"/>
        <v>4517.0239999999994</v>
      </c>
      <c r="M43" s="44">
        <f t="shared" si="5"/>
        <v>770.50950000000057</v>
      </c>
      <c r="N43" s="44" t="str">
        <f t="shared" si="4"/>
        <v>Cr</v>
      </c>
      <c r="O43" s="44"/>
    </row>
    <row r="44" spans="1:15">
      <c r="A44" s="66" t="s">
        <v>159</v>
      </c>
      <c r="B44" s="68"/>
      <c r="C44" s="68"/>
      <c r="D44" s="68"/>
      <c r="E44" s="68">
        <f t="shared" si="0"/>
        <v>0</v>
      </c>
      <c r="F44" s="68">
        <f t="shared" si="1"/>
        <v>0</v>
      </c>
      <c r="G44" s="68" t="s">
        <v>155</v>
      </c>
      <c r="H44" s="20"/>
      <c r="I44" s="20"/>
      <c r="J44" s="66" t="s">
        <v>159</v>
      </c>
      <c r="K44" s="44"/>
      <c r="L44" s="44">
        <f t="shared" si="2"/>
        <v>4517.0239999999994</v>
      </c>
      <c r="M44" s="44">
        <f t="shared" si="5"/>
        <v>770.50950000000057</v>
      </c>
      <c r="N44" s="44" t="str">
        <f t="shared" si="4"/>
        <v>Cr</v>
      </c>
      <c r="O44" s="44"/>
    </row>
    <row r="45" spans="1:15">
      <c r="A45" s="169" t="s">
        <v>160</v>
      </c>
      <c r="B45" s="170"/>
      <c r="C45" s="170"/>
      <c r="D45" s="170"/>
      <c r="E45" s="170">
        <f t="shared" si="0"/>
        <v>0</v>
      </c>
      <c r="F45" s="170">
        <f t="shared" si="1"/>
        <v>0</v>
      </c>
      <c r="G45" s="170" t="s">
        <v>155</v>
      </c>
      <c r="H45" s="20"/>
      <c r="I45" s="20"/>
      <c r="J45" s="169" t="s">
        <v>160</v>
      </c>
      <c r="K45" s="44"/>
      <c r="L45" s="44">
        <f t="shared" si="2"/>
        <v>4517.0239999999994</v>
      </c>
      <c r="M45" s="44">
        <f t="shared" si="5"/>
        <v>770.50950000000057</v>
      </c>
      <c r="N45" s="44" t="str">
        <f t="shared" si="4"/>
        <v>Cr</v>
      </c>
      <c r="O45" s="44"/>
    </row>
    <row r="46" spans="1:15">
      <c r="A46" s="96" t="s">
        <v>161</v>
      </c>
      <c r="B46" s="93">
        <v>5.2</v>
      </c>
      <c r="C46" s="93">
        <v>7</v>
      </c>
      <c r="D46" s="93">
        <v>2.5</v>
      </c>
      <c r="E46" s="171">
        <f t="shared" si="0"/>
        <v>61.800000000000004</v>
      </c>
      <c r="F46" s="93">
        <f t="shared" si="1"/>
        <v>154.5</v>
      </c>
      <c r="G46" s="93" t="s">
        <v>120</v>
      </c>
      <c r="H46" s="20"/>
      <c r="I46" s="20"/>
      <c r="J46" s="96" t="s">
        <v>161</v>
      </c>
      <c r="K46" s="44"/>
      <c r="L46" s="44">
        <f t="shared" si="2"/>
        <v>4671.5239999999994</v>
      </c>
      <c r="M46" s="44">
        <f t="shared" si="5"/>
        <v>925.00950000000057</v>
      </c>
      <c r="N46" s="44" t="str">
        <f t="shared" si="4"/>
        <v>Cr</v>
      </c>
      <c r="O46" s="44"/>
    </row>
    <row r="47" spans="1:15">
      <c r="A47" s="96" t="s">
        <v>162</v>
      </c>
      <c r="B47" s="99">
        <v>4.3</v>
      </c>
      <c r="C47" s="99">
        <v>5.3</v>
      </c>
      <c r="D47" s="99">
        <v>1.7</v>
      </c>
      <c r="E47" s="171">
        <f t="shared" si="0"/>
        <v>49.15</v>
      </c>
      <c r="F47" s="93">
        <f t="shared" si="1"/>
        <v>83.554999999999993</v>
      </c>
      <c r="G47" s="99" t="s">
        <v>120</v>
      </c>
      <c r="H47" s="20"/>
      <c r="I47" s="20"/>
      <c r="J47" s="96" t="s">
        <v>162</v>
      </c>
      <c r="K47" s="86"/>
      <c r="L47" s="44">
        <f t="shared" si="2"/>
        <v>4755.0789999999997</v>
      </c>
      <c r="M47" s="44">
        <f t="shared" si="5"/>
        <v>1008.5645000000005</v>
      </c>
      <c r="N47" s="44" t="str">
        <f t="shared" si="4"/>
        <v>Cr</v>
      </c>
      <c r="O47" s="86"/>
    </row>
    <row r="48" spans="1:15">
      <c r="A48" s="157" t="s">
        <v>163</v>
      </c>
      <c r="B48" s="44">
        <v>6</v>
      </c>
      <c r="C48" s="44">
        <v>8.1</v>
      </c>
      <c r="D48" s="44">
        <v>2.4</v>
      </c>
      <c r="E48" s="171">
        <f t="shared" si="0"/>
        <v>71.400000000000006</v>
      </c>
      <c r="F48" s="93">
        <f t="shared" si="1"/>
        <v>171.36</v>
      </c>
      <c r="G48" s="44" t="s">
        <v>120</v>
      </c>
      <c r="J48" s="157" t="s">
        <v>163</v>
      </c>
      <c r="K48" s="44"/>
      <c r="L48" s="44">
        <f t="shared" si="2"/>
        <v>4926.4389999999994</v>
      </c>
      <c r="M48" s="44">
        <f t="shared" si="5"/>
        <v>1179.9245000000005</v>
      </c>
      <c r="N48" s="44" t="str">
        <f t="shared" si="4"/>
        <v>Cr</v>
      </c>
      <c r="O48" s="44"/>
    </row>
    <row r="49" spans="1:15">
      <c r="A49" s="158" t="s">
        <v>164</v>
      </c>
      <c r="B49" s="159"/>
      <c r="C49" s="159"/>
      <c r="D49" s="159"/>
      <c r="E49" s="171">
        <f t="shared" si="0"/>
        <v>0</v>
      </c>
      <c r="F49" s="93">
        <f t="shared" si="1"/>
        <v>0</v>
      </c>
      <c r="G49" s="159" t="s">
        <v>155</v>
      </c>
      <c r="J49" s="158" t="s">
        <v>164</v>
      </c>
      <c r="K49" s="44">
        <v>1000</v>
      </c>
      <c r="L49" s="44">
        <f t="shared" si="2"/>
        <v>4926.4389999999994</v>
      </c>
      <c r="M49" s="44">
        <f t="shared" si="5"/>
        <v>179.92450000000053</v>
      </c>
      <c r="N49" s="44" t="str">
        <f t="shared" si="4"/>
        <v>Cr</v>
      </c>
      <c r="O49" s="44"/>
    </row>
    <row r="50" spans="1:15">
      <c r="A50" s="157" t="s">
        <v>165</v>
      </c>
      <c r="B50" s="44">
        <v>6.9</v>
      </c>
      <c r="C50" s="44">
        <v>8.8000000000000007</v>
      </c>
      <c r="D50" s="44">
        <v>2.2000000000000002</v>
      </c>
      <c r="E50" s="171">
        <f t="shared" si="0"/>
        <v>80.050000000000011</v>
      </c>
      <c r="F50" s="93">
        <f t="shared" si="1"/>
        <v>176.11000000000004</v>
      </c>
      <c r="G50" s="44" t="s">
        <v>120</v>
      </c>
      <c r="J50" s="157" t="s">
        <v>165</v>
      </c>
      <c r="K50" s="44"/>
      <c r="L50" s="44">
        <f t="shared" si="2"/>
        <v>5102.5489999999991</v>
      </c>
      <c r="M50" s="44">
        <f t="shared" si="5"/>
        <v>356.03450000000055</v>
      </c>
      <c r="N50" s="44" t="str">
        <f t="shared" si="4"/>
        <v>Cr</v>
      </c>
      <c r="O50" s="44"/>
    </row>
    <row r="51" spans="1:15">
      <c r="A51" s="158" t="s">
        <v>166</v>
      </c>
      <c r="B51" s="159"/>
      <c r="C51" s="159"/>
      <c r="D51" s="159"/>
      <c r="E51" s="171">
        <f t="shared" si="0"/>
        <v>0</v>
      </c>
      <c r="F51" s="93">
        <f t="shared" si="1"/>
        <v>0</v>
      </c>
      <c r="G51" s="159"/>
      <c r="J51" s="158" t="s">
        <v>166</v>
      </c>
      <c r="K51" s="44"/>
      <c r="L51" s="44">
        <f t="shared" si="2"/>
        <v>5102.5489999999991</v>
      </c>
      <c r="M51" s="44">
        <f t="shared" si="5"/>
        <v>356.03450000000055</v>
      </c>
      <c r="N51" s="44" t="str">
        <f t="shared" si="4"/>
        <v>Cr</v>
      </c>
      <c r="O51" s="44"/>
    </row>
    <row r="52" spans="1:15">
      <c r="A52" s="160" t="s">
        <v>167</v>
      </c>
      <c r="B52" s="86">
        <v>4.2</v>
      </c>
      <c r="C52" s="86">
        <v>5.8</v>
      </c>
      <c r="D52" s="86">
        <v>1.8</v>
      </c>
      <c r="E52" s="172">
        <f t="shared" si="0"/>
        <v>50.5</v>
      </c>
      <c r="F52" s="99">
        <f t="shared" si="1"/>
        <v>90.9</v>
      </c>
      <c r="G52" s="86" t="s">
        <v>120</v>
      </c>
      <c r="J52" s="160" t="s">
        <v>167</v>
      </c>
      <c r="K52" s="44"/>
      <c r="L52" s="44">
        <f t="shared" si="2"/>
        <v>5193.4489999999987</v>
      </c>
      <c r="M52" s="44">
        <f t="shared" si="5"/>
        <v>446.93450000000053</v>
      </c>
      <c r="N52" s="44" t="str">
        <f t="shared" si="4"/>
        <v>Cr</v>
      </c>
      <c r="O52" s="44"/>
    </row>
    <row r="53" spans="1:15">
      <c r="A53" s="88" t="s">
        <v>168</v>
      </c>
      <c r="B53" s="87">
        <v>6.7</v>
      </c>
      <c r="C53" s="87">
        <v>7.3</v>
      </c>
      <c r="D53" s="87">
        <v>2.2999999999999998</v>
      </c>
      <c r="E53" s="173">
        <f t="shared" si="0"/>
        <v>72.75</v>
      </c>
      <c r="F53" s="153">
        <f t="shared" si="1"/>
        <v>167.32499999999999</v>
      </c>
      <c r="G53" s="87" t="s">
        <v>120</v>
      </c>
      <c r="J53" s="88" t="s">
        <v>168</v>
      </c>
      <c r="K53" s="44">
        <v>615</v>
      </c>
      <c r="L53" s="44">
        <f t="shared" si="2"/>
        <v>5360.7739999999985</v>
      </c>
      <c r="M53" s="44">
        <f t="shared" si="5"/>
        <v>-0.74049999999942884</v>
      </c>
      <c r="N53" s="44" t="str">
        <f t="shared" si="4"/>
        <v>Dr</v>
      </c>
      <c r="O53" s="44"/>
    </row>
    <row r="54" spans="1:15">
      <c r="A54" s="83"/>
      <c r="B54" s="20"/>
      <c r="C54" s="20"/>
      <c r="D54" s="20"/>
      <c r="E54" s="20"/>
      <c r="F54" s="20"/>
      <c r="G54" s="20"/>
      <c r="J54" s="86"/>
      <c r="K54" s="86"/>
      <c r="L54" s="86"/>
      <c r="M54" s="86"/>
      <c r="N54" s="86"/>
      <c r="O54" s="86"/>
    </row>
    <row r="55" spans="1:15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</sheetData>
  <mergeCells count="1">
    <mergeCell ref="B2:G2"/>
  </mergeCells>
  <hyperlinks>
    <hyperlink ref="F5" location="'Customer Index'!A8" display="Customer Code"/>
    <hyperlink ref="G5" location="'Customer Index'!A19" display="Bas12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9"/>
  <sheetViews>
    <sheetView zoomScale="138" zoomScaleNormal="8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231</v>
      </c>
      <c r="B3" s="51"/>
      <c r="C3" s="51"/>
      <c r="F3" s="52" t="s">
        <v>106</v>
      </c>
      <c r="G3" s="53">
        <v>9702350715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49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39" si="0">(B8*6.5+C8*4)</f>
        <v>0</v>
      </c>
      <c r="F8" s="24">
        <f t="shared" ref="F8:F62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SUM(F8:F69)</f>
        <v>5659.0654999999997</v>
      </c>
      <c r="R8" s="44">
        <f>SUM(K8:K49)</f>
        <v>193</v>
      </c>
      <c r="S8" s="44">
        <f>(Q8-R8)</f>
        <v>5466.0654999999997</v>
      </c>
      <c r="T8" s="44">
        <f>SUM(D8:D48)</f>
        <v>58.800000000000004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62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0"/>
        <v>0</v>
      </c>
      <c r="F21" s="93">
        <f t="shared" si="1"/>
        <v>0</v>
      </c>
      <c r="G21" s="93" t="s">
        <v>120</v>
      </c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0"/>
        <v>0</v>
      </c>
      <c r="F22" s="93">
        <f t="shared" si="1"/>
        <v>0</v>
      </c>
      <c r="G22" s="93" t="s">
        <v>120</v>
      </c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>
        <v>4.3899999999999997</v>
      </c>
      <c r="C23" s="93">
        <v>9</v>
      </c>
      <c r="D23" s="93">
        <v>3</v>
      </c>
      <c r="E23" s="24">
        <f t="shared" si="0"/>
        <v>64.534999999999997</v>
      </c>
      <c r="F23" s="93">
        <f t="shared" si="1"/>
        <v>193.60499999999999</v>
      </c>
      <c r="G23" s="93" t="s">
        <v>120</v>
      </c>
      <c r="H23" s="20"/>
      <c r="I23" s="20"/>
      <c r="J23" s="96" t="s">
        <v>136</v>
      </c>
      <c r="K23" s="44"/>
      <c r="L23" s="44">
        <f t="shared" si="2"/>
        <v>193.60499999999999</v>
      </c>
      <c r="M23" s="44">
        <f>(M22+F23-K23)</f>
        <v>193.60499999999999</v>
      </c>
      <c r="N23" s="44" t="str">
        <f t="shared" si="4"/>
        <v>Cr</v>
      </c>
      <c r="O23" s="44"/>
    </row>
    <row r="24" spans="1:21">
      <c r="A24" s="73" t="s">
        <v>138</v>
      </c>
      <c r="B24" s="75">
        <v>4.1500000000000004</v>
      </c>
      <c r="C24" s="75">
        <v>8</v>
      </c>
      <c r="D24" s="75">
        <v>2.8</v>
      </c>
      <c r="E24" s="75">
        <f t="shared" si="0"/>
        <v>58.975000000000001</v>
      </c>
      <c r="F24" s="75">
        <f t="shared" si="1"/>
        <v>165.13</v>
      </c>
      <c r="G24" s="75" t="s">
        <v>120</v>
      </c>
      <c r="H24" s="20"/>
      <c r="I24" s="20"/>
      <c r="J24" s="73" t="s">
        <v>138</v>
      </c>
      <c r="K24" s="78">
        <v>193</v>
      </c>
      <c r="L24" s="44">
        <f t="shared" si="2"/>
        <v>358.73500000000001</v>
      </c>
      <c r="M24" s="78">
        <f>(M23+F24-K24)</f>
        <v>165.73500000000001</v>
      </c>
      <c r="N24" s="78"/>
      <c r="O24" s="78"/>
    </row>
    <row r="25" spans="1:21">
      <c r="A25" s="96" t="s">
        <v>139</v>
      </c>
      <c r="B25" s="93">
        <v>4.33</v>
      </c>
      <c r="C25" s="93">
        <v>9</v>
      </c>
      <c r="D25" s="93">
        <v>2.7</v>
      </c>
      <c r="E25" s="24">
        <f t="shared" si="0"/>
        <v>64.144999999999996</v>
      </c>
      <c r="F25" s="93">
        <f t="shared" si="1"/>
        <v>173.19149999999999</v>
      </c>
      <c r="G25" s="93" t="s">
        <v>120</v>
      </c>
      <c r="H25" s="20"/>
      <c r="I25" s="20"/>
      <c r="J25" s="96" t="s">
        <v>139</v>
      </c>
      <c r="K25" s="44"/>
      <c r="L25" s="44">
        <f t="shared" si="2"/>
        <v>531.92650000000003</v>
      </c>
      <c r="M25" s="44">
        <f>(M24+F25-K25)</f>
        <v>338.92650000000003</v>
      </c>
      <c r="N25" s="44"/>
      <c r="O25" s="44"/>
    </row>
    <row r="26" spans="1:21">
      <c r="A26" s="96" t="s">
        <v>140</v>
      </c>
      <c r="B26" s="93">
        <v>4.24</v>
      </c>
      <c r="C26" s="93">
        <v>8.6999999999999993</v>
      </c>
      <c r="D26" s="93">
        <v>2.8</v>
      </c>
      <c r="E26" s="24">
        <f t="shared" si="0"/>
        <v>62.36</v>
      </c>
      <c r="F26" s="93">
        <f t="shared" si="1"/>
        <v>174.60799999999998</v>
      </c>
      <c r="G26" s="93" t="s">
        <v>120</v>
      </c>
      <c r="H26" s="20"/>
      <c r="I26" s="20"/>
      <c r="J26" s="96" t="s">
        <v>140</v>
      </c>
      <c r="K26" s="44"/>
      <c r="L26" s="44">
        <f t="shared" si="2"/>
        <v>706.53449999999998</v>
      </c>
      <c r="M26" s="44">
        <f t="shared" ref="M26:M40" si="5">(M25+F26-K26)</f>
        <v>513.53449999999998</v>
      </c>
      <c r="N26" s="44"/>
      <c r="O26" s="44"/>
    </row>
    <row r="27" spans="1:21">
      <c r="A27" s="96" t="s">
        <v>140</v>
      </c>
      <c r="B27" s="93">
        <v>7</v>
      </c>
      <c r="C27" s="93">
        <v>9</v>
      </c>
      <c r="D27" s="93">
        <v>1</v>
      </c>
      <c r="E27" s="24">
        <f t="shared" si="0"/>
        <v>81.5</v>
      </c>
      <c r="F27" s="93">
        <f t="shared" si="1"/>
        <v>81.5</v>
      </c>
      <c r="G27" s="93" t="s">
        <v>207</v>
      </c>
      <c r="H27" s="20"/>
      <c r="I27" s="20"/>
      <c r="J27" s="96" t="s">
        <v>140</v>
      </c>
      <c r="K27" s="44"/>
      <c r="L27" s="44">
        <f t="shared" si="2"/>
        <v>788.03449999999998</v>
      </c>
      <c r="M27" s="44">
        <f>(M26+F27-K27)</f>
        <v>595.03449999999998</v>
      </c>
      <c r="N27" s="44"/>
      <c r="O27" s="44"/>
    </row>
    <row r="28" spans="1:21">
      <c r="A28" s="96" t="s">
        <v>141</v>
      </c>
      <c r="B28" s="93">
        <v>4.49</v>
      </c>
      <c r="C28" s="93">
        <v>9</v>
      </c>
      <c r="D28" s="93">
        <v>2.9</v>
      </c>
      <c r="E28" s="93">
        <f t="shared" si="0"/>
        <v>65.185000000000002</v>
      </c>
      <c r="F28" s="93">
        <f t="shared" si="1"/>
        <v>189.03649999999999</v>
      </c>
      <c r="G28" s="93" t="s">
        <v>120</v>
      </c>
      <c r="H28" s="20"/>
      <c r="I28" s="20"/>
      <c r="J28" s="96" t="s">
        <v>141</v>
      </c>
      <c r="K28" s="44"/>
      <c r="L28" s="44">
        <f t="shared" si="2"/>
        <v>977.07099999999991</v>
      </c>
      <c r="M28" s="44">
        <f>(M27+F28-K28)</f>
        <v>784.07099999999991</v>
      </c>
      <c r="N28" s="44"/>
      <c r="O28" s="44"/>
    </row>
    <row r="29" spans="1:21">
      <c r="A29" s="96" t="s">
        <v>141</v>
      </c>
      <c r="B29" s="93">
        <v>7.8</v>
      </c>
      <c r="C29" s="93">
        <v>8.8000000000000007</v>
      </c>
      <c r="D29" s="93">
        <v>1</v>
      </c>
      <c r="E29" s="24">
        <f t="shared" si="0"/>
        <v>85.9</v>
      </c>
      <c r="F29" s="93">
        <f t="shared" si="1"/>
        <v>85.9</v>
      </c>
      <c r="G29" s="93" t="s">
        <v>207</v>
      </c>
      <c r="H29" s="20"/>
      <c r="I29" s="20"/>
      <c r="J29" s="96" t="s">
        <v>141</v>
      </c>
      <c r="K29" s="44"/>
      <c r="L29" s="44">
        <f t="shared" si="2"/>
        <v>1062.971</v>
      </c>
      <c r="M29" s="44">
        <f t="shared" si="5"/>
        <v>869.97099999999989</v>
      </c>
      <c r="N29" s="44"/>
      <c r="O29" s="44"/>
    </row>
    <row r="30" spans="1:21">
      <c r="A30" s="96" t="s">
        <v>142</v>
      </c>
      <c r="B30" s="93">
        <v>5.22</v>
      </c>
      <c r="C30" s="93">
        <v>8.6300000000000008</v>
      </c>
      <c r="D30" s="93">
        <v>2.9</v>
      </c>
      <c r="E30" s="24">
        <f t="shared" si="0"/>
        <v>68.45</v>
      </c>
      <c r="F30" s="93">
        <f t="shared" si="1"/>
        <v>198.505</v>
      </c>
      <c r="G30" s="93" t="s">
        <v>120</v>
      </c>
      <c r="H30" s="20"/>
      <c r="I30" s="20"/>
      <c r="J30" s="96" t="s">
        <v>142</v>
      </c>
      <c r="K30" s="44"/>
      <c r="L30" s="44">
        <f t="shared" si="2"/>
        <v>1261.4760000000001</v>
      </c>
      <c r="M30" s="44">
        <f t="shared" si="5"/>
        <v>1068.4759999999999</v>
      </c>
      <c r="N30" s="44"/>
      <c r="O30" s="44"/>
    </row>
    <row r="31" spans="1:21">
      <c r="A31" s="96" t="s">
        <v>142</v>
      </c>
      <c r="B31" s="93">
        <v>7.57</v>
      </c>
      <c r="C31" s="93">
        <v>10</v>
      </c>
      <c r="D31" s="93">
        <v>1</v>
      </c>
      <c r="E31" s="24">
        <f t="shared" si="0"/>
        <v>89.204999999999998</v>
      </c>
      <c r="F31" s="93">
        <f t="shared" si="1"/>
        <v>89.204999999999998</v>
      </c>
      <c r="G31" s="93" t="s">
        <v>207</v>
      </c>
      <c r="H31" s="20"/>
      <c r="I31" s="20"/>
      <c r="J31" s="96" t="s">
        <v>142</v>
      </c>
      <c r="K31" s="44"/>
      <c r="L31" s="44">
        <f t="shared" si="2"/>
        <v>1350.681</v>
      </c>
      <c r="M31" s="44">
        <f t="shared" si="5"/>
        <v>1157.6809999999998</v>
      </c>
      <c r="N31" s="44"/>
      <c r="O31" s="44"/>
    </row>
    <row r="32" spans="1:21">
      <c r="A32" s="96" t="s">
        <v>143</v>
      </c>
      <c r="B32" s="93">
        <v>4.93</v>
      </c>
      <c r="C32" s="93">
        <v>8.9700000000000006</v>
      </c>
      <c r="D32" s="93">
        <v>3</v>
      </c>
      <c r="E32" s="24">
        <f t="shared" si="0"/>
        <v>67.925000000000011</v>
      </c>
      <c r="F32" s="93">
        <f t="shared" si="1"/>
        <v>203.77500000000003</v>
      </c>
      <c r="G32" s="93" t="s">
        <v>120</v>
      </c>
      <c r="H32" s="20"/>
      <c r="I32" s="20"/>
      <c r="J32" s="96" t="s">
        <v>143</v>
      </c>
      <c r="K32" s="44"/>
      <c r="L32" s="44">
        <f t="shared" si="2"/>
        <v>1554.4560000000001</v>
      </c>
      <c r="M32" s="44">
        <f t="shared" si="5"/>
        <v>1361.4559999999999</v>
      </c>
      <c r="N32" s="44"/>
      <c r="O32" s="44"/>
    </row>
    <row r="33" spans="1:15">
      <c r="A33" s="96" t="s">
        <v>144</v>
      </c>
      <c r="B33" s="93">
        <v>5</v>
      </c>
      <c r="C33" s="93">
        <v>9.23</v>
      </c>
      <c r="D33" s="93">
        <v>3.1</v>
      </c>
      <c r="E33" s="24">
        <f t="shared" si="0"/>
        <v>69.42</v>
      </c>
      <c r="F33" s="93">
        <f t="shared" si="1"/>
        <v>215.202</v>
      </c>
      <c r="G33" s="93" t="s">
        <v>120</v>
      </c>
      <c r="H33" s="20"/>
      <c r="I33" s="20"/>
      <c r="J33" s="96" t="s">
        <v>144</v>
      </c>
      <c r="K33" s="44"/>
      <c r="L33" s="44">
        <f t="shared" si="2"/>
        <v>1769.6580000000001</v>
      </c>
      <c r="M33" s="44">
        <f t="shared" si="5"/>
        <v>1576.6579999999999</v>
      </c>
      <c r="N33" s="44"/>
      <c r="O33" s="44"/>
    </row>
    <row r="34" spans="1:15">
      <c r="A34" s="96" t="s">
        <v>144</v>
      </c>
      <c r="B34" s="93">
        <v>6.4</v>
      </c>
      <c r="C34" s="93">
        <v>9.3000000000000007</v>
      </c>
      <c r="D34" s="93">
        <v>1</v>
      </c>
      <c r="E34" s="24">
        <f t="shared" si="0"/>
        <v>78.800000000000011</v>
      </c>
      <c r="F34" s="93">
        <f t="shared" si="1"/>
        <v>78.800000000000011</v>
      </c>
      <c r="G34" s="93" t="s">
        <v>207</v>
      </c>
      <c r="H34" s="20"/>
      <c r="I34" s="20"/>
      <c r="J34" s="96" t="s">
        <v>144</v>
      </c>
      <c r="K34" s="44"/>
      <c r="L34" s="44">
        <f t="shared" si="2"/>
        <v>1848.4580000000001</v>
      </c>
      <c r="M34" s="44">
        <f t="shared" si="5"/>
        <v>1655.4579999999999</v>
      </c>
      <c r="N34" s="44"/>
      <c r="O34" s="44"/>
    </row>
    <row r="35" spans="1:15">
      <c r="A35" s="96" t="s">
        <v>145</v>
      </c>
      <c r="B35" s="93"/>
      <c r="C35" s="93"/>
      <c r="D35" s="93"/>
      <c r="E35" s="24">
        <f t="shared" si="0"/>
        <v>0</v>
      </c>
      <c r="F35" s="93">
        <f t="shared" si="1"/>
        <v>0</v>
      </c>
      <c r="G35" s="93" t="s">
        <v>155</v>
      </c>
      <c r="H35" s="20"/>
      <c r="I35" s="20"/>
      <c r="J35" s="96" t="s">
        <v>145</v>
      </c>
      <c r="K35" s="44"/>
      <c r="L35" s="44">
        <f t="shared" si="2"/>
        <v>1848.4580000000001</v>
      </c>
      <c r="M35" s="44">
        <f t="shared" si="5"/>
        <v>1655.4579999999999</v>
      </c>
      <c r="N35" s="44"/>
      <c r="O35" s="44"/>
    </row>
    <row r="36" spans="1:15">
      <c r="A36" s="96" t="s">
        <v>146</v>
      </c>
      <c r="B36" s="93">
        <v>4.51</v>
      </c>
      <c r="C36" s="93">
        <v>9.57</v>
      </c>
      <c r="D36" s="93">
        <v>3</v>
      </c>
      <c r="E36" s="24">
        <f t="shared" si="0"/>
        <v>67.594999999999999</v>
      </c>
      <c r="F36" s="93">
        <f t="shared" si="1"/>
        <v>202.785</v>
      </c>
      <c r="G36" s="93" t="s">
        <v>120</v>
      </c>
      <c r="H36" s="20"/>
      <c r="I36" s="20"/>
      <c r="J36" s="96" t="s">
        <v>146</v>
      </c>
      <c r="K36" s="44"/>
      <c r="L36" s="44">
        <f t="shared" si="2"/>
        <v>2051.2429999999999</v>
      </c>
      <c r="M36" s="44">
        <f t="shared" si="5"/>
        <v>1858.2429999999999</v>
      </c>
      <c r="N36" s="44"/>
      <c r="O36" s="44"/>
    </row>
    <row r="37" spans="1:15">
      <c r="A37" s="96" t="s">
        <v>147</v>
      </c>
      <c r="B37" s="93">
        <v>4.51</v>
      </c>
      <c r="C37" s="93">
        <v>9.57</v>
      </c>
      <c r="D37" s="93">
        <v>3.2</v>
      </c>
      <c r="E37" s="24">
        <f t="shared" si="0"/>
        <v>67.594999999999999</v>
      </c>
      <c r="F37" s="93">
        <f t="shared" si="1"/>
        <v>216.304</v>
      </c>
      <c r="G37" s="93" t="s">
        <v>120</v>
      </c>
      <c r="H37" s="20"/>
      <c r="I37" s="20"/>
      <c r="J37" s="96" t="s">
        <v>147</v>
      </c>
      <c r="K37" s="44"/>
      <c r="L37" s="44">
        <f t="shared" si="2"/>
        <v>2267.547</v>
      </c>
      <c r="M37" s="44">
        <f t="shared" si="5"/>
        <v>2074.547</v>
      </c>
      <c r="N37" s="44"/>
      <c r="O37" s="44"/>
    </row>
    <row r="38" spans="1:15">
      <c r="A38" s="96" t="s">
        <v>147</v>
      </c>
      <c r="B38" s="93">
        <v>6.83</v>
      </c>
      <c r="C38" s="93">
        <v>8.57</v>
      </c>
      <c r="D38" s="93">
        <v>1</v>
      </c>
      <c r="E38" s="24">
        <f t="shared" si="0"/>
        <v>78.675000000000011</v>
      </c>
      <c r="F38" s="93">
        <f t="shared" si="1"/>
        <v>78.675000000000011</v>
      </c>
      <c r="G38" s="93" t="s">
        <v>120</v>
      </c>
      <c r="H38" s="20"/>
      <c r="I38" s="20"/>
      <c r="J38" s="96" t="s">
        <v>147</v>
      </c>
      <c r="K38" s="44"/>
      <c r="L38" s="44">
        <f t="shared" si="2"/>
        <v>2346.2220000000002</v>
      </c>
      <c r="M38" s="44">
        <f t="shared" si="5"/>
        <v>2153.2220000000002</v>
      </c>
      <c r="N38" s="44"/>
      <c r="O38" s="44"/>
    </row>
    <row r="39" spans="1:15">
      <c r="A39" s="96" t="s">
        <v>148</v>
      </c>
      <c r="B39" s="93">
        <v>5.23</v>
      </c>
      <c r="C39" s="93">
        <v>9.1999999999999993</v>
      </c>
      <c r="D39" s="93">
        <v>3.3</v>
      </c>
      <c r="E39" s="24">
        <f t="shared" si="0"/>
        <v>70.795000000000002</v>
      </c>
      <c r="F39" s="93">
        <f t="shared" si="1"/>
        <v>233.62350000000001</v>
      </c>
      <c r="G39" s="93" t="s">
        <v>120</v>
      </c>
      <c r="H39" s="20"/>
      <c r="I39" s="20"/>
      <c r="J39" s="96" t="s">
        <v>148</v>
      </c>
      <c r="K39" s="44"/>
      <c r="L39" s="44">
        <f t="shared" si="2"/>
        <v>2579.8455000000004</v>
      </c>
      <c r="M39" s="44">
        <f t="shared" si="5"/>
        <v>2386.8455000000004</v>
      </c>
      <c r="N39" s="44"/>
      <c r="O39" s="44"/>
    </row>
    <row r="40" spans="1:15">
      <c r="A40" s="167" t="s">
        <v>149</v>
      </c>
      <c r="B40" s="168"/>
      <c r="C40" s="168"/>
      <c r="D40" s="168"/>
      <c r="E40" s="168">
        <f t="shared" ref="E40:E62" si="6">(B40*6.5+C40*4)</f>
        <v>0</v>
      </c>
      <c r="F40" s="168">
        <f t="shared" si="1"/>
        <v>0</v>
      </c>
      <c r="G40" s="168" t="s">
        <v>155</v>
      </c>
      <c r="H40" s="20"/>
      <c r="I40" s="20"/>
      <c r="J40" s="167" t="s">
        <v>149</v>
      </c>
      <c r="K40" s="44"/>
      <c r="L40" s="44">
        <f t="shared" si="2"/>
        <v>2579.8455000000004</v>
      </c>
      <c r="M40" s="44">
        <f t="shared" si="5"/>
        <v>2386.8455000000004</v>
      </c>
      <c r="N40" s="44"/>
      <c r="O40" s="44"/>
    </row>
    <row r="41" spans="1:15">
      <c r="A41" s="96" t="s">
        <v>150</v>
      </c>
      <c r="B41" s="93">
        <v>5</v>
      </c>
      <c r="C41" s="93">
        <v>9.18</v>
      </c>
      <c r="D41" s="93">
        <v>3</v>
      </c>
      <c r="E41" s="24">
        <f t="shared" si="6"/>
        <v>69.22</v>
      </c>
      <c r="F41" s="93">
        <f t="shared" si="1"/>
        <v>207.66</v>
      </c>
      <c r="G41" s="93" t="s">
        <v>120</v>
      </c>
      <c r="H41" s="20"/>
      <c r="I41" s="20"/>
      <c r="J41" s="96" t="s">
        <v>150</v>
      </c>
      <c r="K41" s="44"/>
      <c r="L41" s="44">
        <f t="shared" si="2"/>
        <v>2787.5055000000002</v>
      </c>
      <c r="M41" s="44">
        <f>(M40+F41-K41)</f>
        <v>2594.5055000000002</v>
      </c>
      <c r="N41" s="44"/>
      <c r="O41" s="44"/>
    </row>
    <row r="42" spans="1:15">
      <c r="A42" s="96" t="s">
        <v>151</v>
      </c>
      <c r="B42" s="93">
        <v>5.6</v>
      </c>
      <c r="C42" s="93">
        <v>9.3000000000000007</v>
      </c>
      <c r="D42" s="93">
        <v>3.1</v>
      </c>
      <c r="E42" s="24">
        <f t="shared" si="6"/>
        <v>73.599999999999994</v>
      </c>
      <c r="F42" s="93">
        <f t="shared" si="1"/>
        <v>228.16</v>
      </c>
      <c r="G42" s="93" t="s">
        <v>120</v>
      </c>
      <c r="H42" s="20"/>
      <c r="I42" s="20"/>
      <c r="J42" s="96" t="s">
        <v>151</v>
      </c>
      <c r="K42" s="155"/>
      <c r="L42" s="44">
        <f t="shared" si="2"/>
        <v>3015.6655000000001</v>
      </c>
      <c r="M42" s="44">
        <f t="shared" ref="M42:M62" si="7">(M41+F42-K42)</f>
        <v>2822.6655000000001</v>
      </c>
      <c r="N42" s="44"/>
      <c r="O42" s="44"/>
    </row>
    <row r="43" spans="1:15">
      <c r="A43" s="96" t="s">
        <v>152</v>
      </c>
      <c r="B43" s="93">
        <v>5.2</v>
      </c>
      <c r="C43" s="93">
        <v>10</v>
      </c>
      <c r="D43" s="93">
        <v>3.3</v>
      </c>
      <c r="E43" s="24">
        <f t="shared" si="6"/>
        <v>73.800000000000011</v>
      </c>
      <c r="F43" s="93">
        <f t="shared" si="1"/>
        <v>243.54000000000002</v>
      </c>
      <c r="G43" s="93" t="s">
        <v>120</v>
      </c>
      <c r="H43" s="20"/>
      <c r="I43" s="20"/>
      <c r="J43" s="96" t="s">
        <v>152</v>
      </c>
      <c r="K43" s="155"/>
      <c r="L43" s="44">
        <f t="shared" si="2"/>
        <v>3259.2055</v>
      </c>
      <c r="M43" s="44">
        <f t="shared" si="7"/>
        <v>3066.2055</v>
      </c>
      <c r="N43" s="44"/>
      <c r="O43" s="44"/>
    </row>
    <row r="44" spans="1:15">
      <c r="A44" s="96" t="s">
        <v>153</v>
      </c>
      <c r="B44" s="93">
        <v>4.8</v>
      </c>
      <c r="C44" s="93">
        <v>8.8000000000000007</v>
      </c>
      <c r="D44" s="93">
        <v>3.3</v>
      </c>
      <c r="E44" s="24">
        <f t="shared" si="6"/>
        <v>66.400000000000006</v>
      </c>
      <c r="F44" s="93">
        <f t="shared" si="1"/>
        <v>219.12</v>
      </c>
      <c r="G44" s="93" t="s">
        <v>120</v>
      </c>
      <c r="H44" s="20"/>
      <c r="I44" s="20"/>
      <c r="J44" s="96" t="s">
        <v>153</v>
      </c>
      <c r="K44" s="44"/>
      <c r="L44" s="44">
        <f t="shared" si="2"/>
        <v>3478.3254999999999</v>
      </c>
      <c r="M44" s="44">
        <f t="shared" si="7"/>
        <v>3285.3254999999999</v>
      </c>
      <c r="N44" s="44"/>
      <c r="O44" s="44"/>
    </row>
    <row r="45" spans="1:15">
      <c r="A45" s="96" t="s">
        <v>153</v>
      </c>
      <c r="B45" s="93">
        <v>6.8</v>
      </c>
      <c r="C45" s="93">
        <v>8.6999999999999993</v>
      </c>
      <c r="D45" s="93">
        <v>1</v>
      </c>
      <c r="E45" s="24">
        <f t="shared" si="6"/>
        <v>79</v>
      </c>
      <c r="F45" s="93">
        <f t="shared" si="1"/>
        <v>79</v>
      </c>
      <c r="G45" s="93" t="s">
        <v>207</v>
      </c>
      <c r="H45" s="20"/>
      <c r="I45" s="20"/>
      <c r="J45" s="96" t="s">
        <v>153</v>
      </c>
      <c r="K45" s="44"/>
      <c r="L45" s="44">
        <f t="shared" si="2"/>
        <v>3557.3254999999999</v>
      </c>
      <c r="M45" s="44">
        <f t="shared" si="7"/>
        <v>3364.3254999999999</v>
      </c>
      <c r="N45" s="44"/>
      <c r="O45" s="44"/>
    </row>
    <row r="46" spans="1:15">
      <c r="A46" s="96" t="s">
        <v>154</v>
      </c>
      <c r="B46" s="93">
        <v>5.2</v>
      </c>
      <c r="C46" s="93">
        <v>9.3000000000000007</v>
      </c>
      <c r="D46" s="93">
        <v>3.2</v>
      </c>
      <c r="E46" s="24">
        <f t="shared" si="6"/>
        <v>71</v>
      </c>
      <c r="F46" s="93">
        <f t="shared" si="1"/>
        <v>227.20000000000002</v>
      </c>
      <c r="G46" s="93" t="s">
        <v>120</v>
      </c>
      <c r="H46" s="20"/>
      <c r="I46" s="20"/>
      <c r="J46" s="96" t="s">
        <v>154</v>
      </c>
      <c r="K46" s="44"/>
      <c r="L46" s="44">
        <f t="shared" si="2"/>
        <v>3784.5254999999997</v>
      </c>
      <c r="M46" s="44">
        <f t="shared" si="7"/>
        <v>3591.5254999999997</v>
      </c>
      <c r="N46" s="44"/>
      <c r="O46" s="44"/>
    </row>
    <row r="47" spans="1:15">
      <c r="A47" s="96" t="s">
        <v>154</v>
      </c>
      <c r="B47" s="93">
        <v>5.6</v>
      </c>
      <c r="C47" s="93">
        <v>6.8</v>
      </c>
      <c r="D47" s="93">
        <v>1</v>
      </c>
      <c r="E47" s="24">
        <f t="shared" si="6"/>
        <v>63.599999999999994</v>
      </c>
      <c r="F47" s="93">
        <f t="shared" si="1"/>
        <v>63.599999999999994</v>
      </c>
      <c r="G47" s="93" t="s">
        <v>207</v>
      </c>
      <c r="H47" s="20"/>
      <c r="I47" s="20"/>
      <c r="J47" s="96" t="s">
        <v>154</v>
      </c>
      <c r="K47" s="44"/>
      <c r="L47" s="44">
        <f t="shared" si="2"/>
        <v>3848.1254999999996</v>
      </c>
      <c r="M47" s="44">
        <f t="shared" si="7"/>
        <v>3655.1254999999996</v>
      </c>
      <c r="N47" s="44"/>
      <c r="O47" s="44"/>
    </row>
    <row r="48" spans="1:15">
      <c r="A48" s="96" t="s">
        <v>156</v>
      </c>
      <c r="B48" s="99">
        <v>4.9000000000000004</v>
      </c>
      <c r="C48" s="99">
        <v>9.1999999999999993</v>
      </c>
      <c r="D48" s="99">
        <v>3.2</v>
      </c>
      <c r="E48" s="24">
        <f t="shared" si="6"/>
        <v>68.650000000000006</v>
      </c>
      <c r="F48" s="93">
        <f t="shared" si="1"/>
        <v>219.68000000000004</v>
      </c>
      <c r="G48" s="99" t="s">
        <v>120</v>
      </c>
      <c r="H48" s="20"/>
      <c r="I48" s="20"/>
      <c r="J48" s="96" t="s">
        <v>156</v>
      </c>
      <c r="K48" s="86"/>
      <c r="L48" s="44">
        <f t="shared" si="2"/>
        <v>4067.8054999999995</v>
      </c>
      <c r="M48" s="44">
        <f t="shared" si="7"/>
        <v>3874.8054999999995</v>
      </c>
      <c r="N48" s="86"/>
      <c r="O48" s="86"/>
    </row>
    <row r="49" spans="1:15">
      <c r="A49" s="96" t="s">
        <v>156</v>
      </c>
      <c r="B49" s="44">
        <v>5.3</v>
      </c>
      <c r="C49" s="44">
        <v>6</v>
      </c>
      <c r="D49" s="44">
        <v>1</v>
      </c>
      <c r="E49" s="24">
        <f t="shared" si="6"/>
        <v>58.449999999999996</v>
      </c>
      <c r="F49" s="93">
        <f t="shared" si="1"/>
        <v>58.449999999999996</v>
      </c>
      <c r="G49" s="44" t="s">
        <v>207</v>
      </c>
      <c r="J49" s="96" t="s">
        <v>156</v>
      </c>
      <c r="K49" s="44"/>
      <c r="L49" s="44">
        <f t="shared" si="2"/>
        <v>4126.2554999999993</v>
      </c>
      <c r="M49" s="44">
        <f t="shared" si="7"/>
        <v>3933.2554999999993</v>
      </c>
      <c r="N49" s="44"/>
      <c r="O49" s="44"/>
    </row>
    <row r="50" spans="1:15">
      <c r="A50" s="157" t="s">
        <v>157</v>
      </c>
      <c r="B50" s="44">
        <v>4</v>
      </c>
      <c r="C50" s="44">
        <v>7.1</v>
      </c>
      <c r="D50" s="44">
        <v>2.9</v>
      </c>
      <c r="E50" s="24">
        <f t="shared" si="6"/>
        <v>54.4</v>
      </c>
      <c r="F50" s="93">
        <f t="shared" si="1"/>
        <v>157.76</v>
      </c>
      <c r="G50" s="44" t="s">
        <v>120</v>
      </c>
      <c r="J50" s="157" t="s">
        <v>157</v>
      </c>
      <c r="K50" s="44"/>
      <c r="L50" s="44">
        <f t="shared" si="2"/>
        <v>4284.0154999999995</v>
      </c>
      <c r="M50" s="44">
        <f t="shared" si="7"/>
        <v>4091.0154999999995</v>
      </c>
      <c r="N50" s="44"/>
      <c r="O50" s="44"/>
    </row>
    <row r="51" spans="1:15">
      <c r="A51" s="157" t="s">
        <v>157</v>
      </c>
      <c r="B51" s="44">
        <v>4.5</v>
      </c>
      <c r="C51" s="44">
        <v>5.7</v>
      </c>
      <c r="D51" s="44">
        <v>1</v>
      </c>
      <c r="E51" s="24">
        <f t="shared" si="6"/>
        <v>52.05</v>
      </c>
      <c r="F51" s="93">
        <f t="shared" si="1"/>
        <v>52.05</v>
      </c>
      <c r="G51" s="44" t="s">
        <v>207</v>
      </c>
      <c r="J51" s="157" t="s">
        <v>157</v>
      </c>
      <c r="K51" s="44"/>
      <c r="L51" s="44">
        <f t="shared" si="2"/>
        <v>4336.0654999999997</v>
      </c>
      <c r="M51" s="44">
        <f t="shared" si="7"/>
        <v>4143.0654999999997</v>
      </c>
      <c r="N51" s="44"/>
      <c r="O51" s="44"/>
    </row>
    <row r="52" spans="1:15">
      <c r="A52" s="158" t="s">
        <v>158</v>
      </c>
      <c r="B52" s="159"/>
      <c r="C52" s="159"/>
      <c r="D52" s="159"/>
      <c r="E52" s="24">
        <f t="shared" si="6"/>
        <v>0</v>
      </c>
      <c r="F52" s="93">
        <f t="shared" si="1"/>
        <v>0</v>
      </c>
      <c r="G52" s="159" t="s">
        <v>155</v>
      </c>
      <c r="J52" s="158" t="s">
        <v>158</v>
      </c>
      <c r="K52" s="44"/>
      <c r="L52" s="44">
        <f t="shared" si="2"/>
        <v>4336.0654999999997</v>
      </c>
      <c r="M52" s="44">
        <f t="shared" si="7"/>
        <v>4143.0654999999997</v>
      </c>
      <c r="N52" s="44"/>
      <c r="O52" s="44"/>
    </row>
    <row r="53" spans="1:15">
      <c r="A53" s="157" t="s">
        <v>159</v>
      </c>
      <c r="B53" s="44">
        <v>4.5</v>
      </c>
      <c r="C53" s="44">
        <v>9.1</v>
      </c>
      <c r="D53" s="44">
        <v>2.6</v>
      </c>
      <c r="E53" s="24">
        <f t="shared" si="6"/>
        <v>65.650000000000006</v>
      </c>
      <c r="F53" s="93">
        <f t="shared" si="1"/>
        <v>170.69000000000003</v>
      </c>
      <c r="G53" s="44" t="s">
        <v>120</v>
      </c>
      <c r="J53" s="157" t="s">
        <v>159</v>
      </c>
      <c r="K53" s="44"/>
      <c r="L53" s="44">
        <f t="shared" si="2"/>
        <v>4506.7554999999993</v>
      </c>
      <c r="M53" s="44">
        <f t="shared" si="7"/>
        <v>4313.7554999999993</v>
      </c>
      <c r="N53" s="44"/>
      <c r="O53" s="44"/>
    </row>
    <row r="54" spans="1:15">
      <c r="A54" s="157" t="s">
        <v>160</v>
      </c>
      <c r="B54" s="44">
        <v>4.2</v>
      </c>
      <c r="C54" s="44">
        <v>6.5</v>
      </c>
      <c r="D54" s="44">
        <v>2.5</v>
      </c>
      <c r="E54" s="24">
        <f t="shared" si="6"/>
        <v>53.3</v>
      </c>
      <c r="F54" s="93">
        <f t="shared" si="1"/>
        <v>133.25</v>
      </c>
      <c r="G54" s="44" t="s">
        <v>120</v>
      </c>
      <c r="J54" s="157" t="s">
        <v>160</v>
      </c>
      <c r="K54" s="44"/>
      <c r="L54" s="44">
        <f t="shared" si="2"/>
        <v>4640.0054999999993</v>
      </c>
      <c r="M54" s="44">
        <f t="shared" si="7"/>
        <v>4447.0054999999993</v>
      </c>
      <c r="N54" s="44"/>
      <c r="O54" s="44"/>
    </row>
    <row r="55" spans="1:15">
      <c r="A55" s="157" t="s">
        <v>161</v>
      </c>
      <c r="B55" s="44">
        <v>4.2</v>
      </c>
      <c r="C55" s="44">
        <v>9.1</v>
      </c>
      <c r="D55" s="44">
        <v>2.2999999999999998</v>
      </c>
      <c r="E55" s="24">
        <f t="shared" si="6"/>
        <v>63.7</v>
      </c>
      <c r="F55" s="93">
        <f t="shared" si="1"/>
        <v>146.51</v>
      </c>
      <c r="G55" s="44" t="s">
        <v>120</v>
      </c>
      <c r="J55" s="157" t="s">
        <v>161</v>
      </c>
      <c r="K55" s="44"/>
      <c r="L55" s="44">
        <f t="shared" si="2"/>
        <v>4786.5154999999995</v>
      </c>
      <c r="M55" s="44">
        <f t="shared" si="7"/>
        <v>4593.5154999999995</v>
      </c>
      <c r="N55" s="44"/>
      <c r="O55" s="44"/>
    </row>
    <row r="56" spans="1:15">
      <c r="A56" s="157" t="s">
        <v>162</v>
      </c>
      <c r="B56" s="44">
        <v>4.8</v>
      </c>
      <c r="C56" s="44">
        <v>9.1999999999999993</v>
      </c>
      <c r="D56" s="44">
        <v>2.6</v>
      </c>
      <c r="E56" s="24">
        <f t="shared" si="6"/>
        <v>68</v>
      </c>
      <c r="F56" s="93">
        <f t="shared" si="1"/>
        <v>176.8</v>
      </c>
      <c r="G56" s="44" t="s">
        <v>120</v>
      </c>
      <c r="J56" s="157" t="s">
        <v>162</v>
      </c>
      <c r="K56" s="44"/>
      <c r="L56" s="44">
        <f t="shared" si="2"/>
        <v>4963.3154999999997</v>
      </c>
      <c r="M56" s="44">
        <f t="shared" si="7"/>
        <v>4770.3154999999997</v>
      </c>
      <c r="N56" s="44"/>
      <c r="O56" s="44"/>
    </row>
    <row r="57" spans="1:15">
      <c r="A57" s="157" t="s">
        <v>163</v>
      </c>
      <c r="B57" s="44">
        <v>3.1</v>
      </c>
      <c r="C57" s="44">
        <v>6.4</v>
      </c>
      <c r="D57" s="44">
        <v>2.7</v>
      </c>
      <c r="E57" s="24">
        <f t="shared" si="6"/>
        <v>45.75</v>
      </c>
      <c r="F57" s="93">
        <f t="shared" si="1"/>
        <v>123.52500000000001</v>
      </c>
      <c r="G57" s="44" t="s">
        <v>120</v>
      </c>
      <c r="J57" s="157" t="s">
        <v>163</v>
      </c>
      <c r="K57" s="44"/>
      <c r="L57" s="44">
        <f t="shared" si="2"/>
        <v>5086.8404999999993</v>
      </c>
      <c r="M57" s="44">
        <f t="shared" si="7"/>
        <v>4893.8404999999993</v>
      </c>
      <c r="N57" s="44"/>
      <c r="O57" s="44"/>
    </row>
    <row r="58" spans="1:15">
      <c r="A58" s="157" t="s">
        <v>164</v>
      </c>
      <c r="B58" s="44">
        <v>5.3</v>
      </c>
      <c r="C58" s="44">
        <v>9</v>
      </c>
      <c r="D58" s="44">
        <v>2.6</v>
      </c>
      <c r="E58" s="24">
        <f t="shared" si="6"/>
        <v>70.449999999999989</v>
      </c>
      <c r="F58" s="93">
        <f t="shared" si="1"/>
        <v>183.17</v>
      </c>
      <c r="G58" s="44" t="s">
        <v>120</v>
      </c>
      <c r="J58" s="157" t="s">
        <v>164</v>
      </c>
      <c r="K58" s="44"/>
      <c r="L58" s="44">
        <f t="shared" si="2"/>
        <v>5270.0104999999994</v>
      </c>
      <c r="M58" s="44">
        <f t="shared" si="7"/>
        <v>5077.0104999999994</v>
      </c>
      <c r="N58" s="44"/>
      <c r="O58" s="44"/>
    </row>
    <row r="59" spans="1:15">
      <c r="A59" s="157" t="s">
        <v>165</v>
      </c>
      <c r="B59" s="44">
        <v>3.8</v>
      </c>
      <c r="C59" s="44">
        <v>6.2</v>
      </c>
      <c r="D59" s="44">
        <v>2.8</v>
      </c>
      <c r="E59" s="24">
        <f t="shared" si="6"/>
        <v>49.5</v>
      </c>
      <c r="F59" s="93">
        <f t="shared" si="1"/>
        <v>138.6</v>
      </c>
      <c r="G59" s="44" t="s">
        <v>120</v>
      </c>
      <c r="J59" s="157" t="s">
        <v>165</v>
      </c>
      <c r="K59" s="44"/>
      <c r="L59" s="44">
        <f t="shared" si="2"/>
        <v>5408.6104999999998</v>
      </c>
      <c r="M59" s="44">
        <f t="shared" si="7"/>
        <v>5215.6104999999998</v>
      </c>
      <c r="N59" s="44"/>
      <c r="O59" s="44"/>
    </row>
    <row r="60" spans="1:15">
      <c r="A60" s="157" t="s">
        <v>166</v>
      </c>
      <c r="B60" s="44">
        <v>3.7</v>
      </c>
      <c r="C60" s="44">
        <v>5.9</v>
      </c>
      <c r="D60" s="44">
        <v>2.7</v>
      </c>
      <c r="E60" s="24">
        <f t="shared" si="6"/>
        <v>47.650000000000006</v>
      </c>
      <c r="F60" s="93">
        <f t="shared" si="1"/>
        <v>128.65500000000003</v>
      </c>
      <c r="G60" s="44" t="s">
        <v>120</v>
      </c>
      <c r="J60" s="157" t="s">
        <v>166</v>
      </c>
      <c r="K60" s="44"/>
      <c r="L60" s="44">
        <f t="shared" si="2"/>
        <v>5537.2654999999995</v>
      </c>
      <c r="M60" s="44">
        <f t="shared" si="7"/>
        <v>5344.2654999999995</v>
      </c>
      <c r="N60" s="44"/>
      <c r="O60" s="44"/>
    </row>
    <row r="61" spans="1:15">
      <c r="A61" s="165" t="s">
        <v>167</v>
      </c>
      <c r="B61" s="166"/>
      <c r="C61" s="166"/>
      <c r="D61" s="166"/>
      <c r="E61" s="80">
        <f t="shared" si="6"/>
        <v>0</v>
      </c>
      <c r="F61" s="99">
        <f t="shared" si="1"/>
        <v>0</v>
      </c>
      <c r="G61" s="166" t="s">
        <v>155</v>
      </c>
      <c r="J61" s="165" t="s">
        <v>167</v>
      </c>
      <c r="K61" s="86"/>
      <c r="L61" s="86">
        <f t="shared" si="2"/>
        <v>5537.2654999999995</v>
      </c>
      <c r="M61" s="86">
        <f t="shared" si="7"/>
        <v>5344.2654999999995</v>
      </c>
      <c r="N61" s="86"/>
      <c r="O61" s="86"/>
    </row>
    <row r="62" spans="1:15">
      <c r="A62" s="62" t="s">
        <v>168</v>
      </c>
      <c r="B62" s="24">
        <v>3</v>
      </c>
      <c r="C62" s="24">
        <v>6</v>
      </c>
      <c r="D62" s="24">
        <v>2.8</v>
      </c>
      <c r="E62" s="24">
        <f t="shared" si="6"/>
        <v>43.5</v>
      </c>
      <c r="F62" s="93">
        <f t="shared" si="1"/>
        <v>121.8</v>
      </c>
      <c r="G62" s="24" t="s">
        <v>120</v>
      </c>
      <c r="J62" s="62" t="s">
        <v>168</v>
      </c>
      <c r="K62" s="24">
        <v>5000</v>
      </c>
      <c r="L62" s="24">
        <f t="shared" si="2"/>
        <v>5659.0654999999997</v>
      </c>
      <c r="M62" s="24">
        <f t="shared" si="7"/>
        <v>466.0654999999997</v>
      </c>
      <c r="N62" s="24"/>
      <c r="O62" s="24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>
      <c r="A69" s="8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</sheetData>
  <mergeCells count="1">
    <mergeCell ref="B2:G2"/>
  </mergeCells>
  <hyperlinks>
    <hyperlink ref="F5" location="'Customer Index'!A8" display="Customer Code"/>
    <hyperlink ref="G5" location="'Customer Index'!A20" display="Bas13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9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232</v>
      </c>
      <c r="B3" s="51"/>
      <c r="C3" s="51"/>
      <c r="F3" s="52" t="s">
        <v>106</v>
      </c>
      <c r="G3" s="53">
        <v>9702350715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51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4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SUM(F8:F69)</f>
        <v>6564.2659999999996</v>
      </c>
      <c r="R8" s="44">
        <f>SUM(K8:K49)</f>
        <v>4100</v>
      </c>
      <c r="S8" s="44">
        <f>(Q8-R8)</f>
        <v>2464.2659999999996</v>
      </c>
      <c r="T8" s="44">
        <f>SUM(D8:D48)</f>
        <v>55.400000000000006</v>
      </c>
      <c r="U8" s="44"/>
    </row>
    <row r="9" spans="1:21">
      <c r="A9" s="62" t="s">
        <v>121</v>
      </c>
      <c r="B9" s="24"/>
      <c r="C9" s="24"/>
      <c r="D9" s="24"/>
      <c r="E9" s="24">
        <f t="shared" ref="E9:E54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2" si="2">(L8+F9)</f>
        <v>0</v>
      </c>
      <c r="M9" s="44">
        <f t="shared" ref="M9:M22" si="3">(M8+F9-K9)</f>
        <v>0</v>
      </c>
      <c r="N9" s="44" t="str">
        <f t="shared" ref="N9:N41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ref="L23:L54" si="5">(L22+F23)</f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78">
        <f t="shared" si="5"/>
        <v>0</v>
      </c>
      <c r="M24" s="78">
        <f>(M23+F24-K24)</f>
        <v>0</v>
      </c>
      <c r="N24" s="78" t="str">
        <f t="shared" si="4"/>
        <v>Cr</v>
      </c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5"/>
        <v>0</v>
      </c>
      <c r="M25" s="44">
        <f>(M24+F25-K25)</f>
        <v>0</v>
      </c>
      <c r="N25" s="44" t="str">
        <f t="shared" si="4"/>
        <v>Cr</v>
      </c>
      <c r="O25" s="44"/>
    </row>
    <row r="26" spans="1:21">
      <c r="A26" s="96" t="s">
        <v>140</v>
      </c>
      <c r="B26" s="93">
        <v>10.1</v>
      </c>
      <c r="C26" s="93">
        <v>9.4</v>
      </c>
      <c r="D26" s="93">
        <v>2.4</v>
      </c>
      <c r="E26" s="24">
        <f t="shared" si="1"/>
        <v>103.25</v>
      </c>
      <c r="F26" s="93">
        <f t="shared" si="0"/>
        <v>247.79999999999998</v>
      </c>
      <c r="G26" s="93" t="s">
        <v>120</v>
      </c>
      <c r="H26" s="20"/>
      <c r="I26" s="20"/>
      <c r="J26" s="62" t="s">
        <v>140</v>
      </c>
      <c r="K26" s="44"/>
      <c r="L26" s="44">
        <f t="shared" si="5"/>
        <v>247.79999999999998</v>
      </c>
      <c r="M26" s="44">
        <f t="shared" ref="M26:M40" si="6">(M25+F26-K26)</f>
        <v>247.79999999999998</v>
      </c>
      <c r="N26" s="44" t="str">
        <f t="shared" si="4"/>
        <v>Cr</v>
      </c>
      <c r="O26" s="44"/>
    </row>
    <row r="27" spans="1:21">
      <c r="A27" s="96" t="s">
        <v>141</v>
      </c>
      <c r="B27" s="93">
        <v>7.9</v>
      </c>
      <c r="C27" s="93">
        <v>9.4</v>
      </c>
      <c r="D27" s="93">
        <v>2.7</v>
      </c>
      <c r="E27" s="24">
        <f t="shared" si="1"/>
        <v>88.95</v>
      </c>
      <c r="F27" s="93">
        <f t="shared" si="0"/>
        <v>240.16500000000002</v>
      </c>
      <c r="G27" s="93" t="s">
        <v>120</v>
      </c>
      <c r="H27" s="20"/>
      <c r="I27" s="20"/>
      <c r="J27" s="96" t="s">
        <v>141</v>
      </c>
      <c r="K27" s="44"/>
      <c r="L27" s="44">
        <f t="shared" si="5"/>
        <v>487.96500000000003</v>
      </c>
      <c r="M27" s="44">
        <f>(M26+F27-K27)</f>
        <v>487.96500000000003</v>
      </c>
      <c r="N27" s="44" t="str">
        <f t="shared" si="4"/>
        <v>Cr</v>
      </c>
      <c r="O27" s="44"/>
    </row>
    <row r="28" spans="1:21">
      <c r="A28" s="96" t="s">
        <v>141</v>
      </c>
      <c r="B28" s="93">
        <v>10.1</v>
      </c>
      <c r="C28" s="93">
        <v>9.14</v>
      </c>
      <c r="D28" s="93">
        <v>2.7</v>
      </c>
      <c r="E28" s="93">
        <f t="shared" si="1"/>
        <v>102.21</v>
      </c>
      <c r="F28" s="93">
        <f t="shared" si="0"/>
        <v>275.96699999999998</v>
      </c>
      <c r="G28" s="93" t="s">
        <v>207</v>
      </c>
      <c r="H28" s="20"/>
      <c r="I28" s="20"/>
      <c r="J28" s="62" t="s">
        <v>141</v>
      </c>
      <c r="K28" s="44"/>
      <c r="L28" s="44">
        <f t="shared" si="5"/>
        <v>763.93200000000002</v>
      </c>
      <c r="M28" s="44">
        <f>(M27+F28-K28)</f>
        <v>763.93200000000002</v>
      </c>
      <c r="N28" s="44" t="str">
        <f t="shared" si="4"/>
        <v>Cr</v>
      </c>
      <c r="O28" s="44"/>
    </row>
    <row r="29" spans="1:21">
      <c r="A29" s="96" t="s">
        <v>142</v>
      </c>
      <c r="B29" s="93">
        <v>7.9</v>
      </c>
      <c r="C29" s="93">
        <v>9.4</v>
      </c>
      <c r="D29" s="93">
        <v>2.7</v>
      </c>
      <c r="E29" s="24">
        <f t="shared" si="1"/>
        <v>88.95</v>
      </c>
      <c r="F29" s="93">
        <f t="shared" si="0"/>
        <v>240.16500000000002</v>
      </c>
      <c r="G29" s="93" t="s">
        <v>207</v>
      </c>
      <c r="H29" s="20"/>
      <c r="I29" s="20"/>
      <c r="J29" s="62" t="s">
        <v>142</v>
      </c>
      <c r="K29" s="44"/>
      <c r="L29" s="44">
        <f t="shared" si="5"/>
        <v>1004.097</v>
      </c>
      <c r="M29" s="44">
        <f t="shared" si="6"/>
        <v>1004.097</v>
      </c>
      <c r="N29" s="44" t="str">
        <f t="shared" si="4"/>
        <v>Cr</v>
      </c>
      <c r="O29" s="44"/>
    </row>
    <row r="30" spans="1:21">
      <c r="A30" s="96" t="s">
        <v>143</v>
      </c>
      <c r="B30" s="93">
        <v>7.97</v>
      </c>
      <c r="C30" s="93">
        <v>9.31</v>
      </c>
      <c r="D30" s="93">
        <v>2.2000000000000002</v>
      </c>
      <c r="E30" s="24">
        <f t="shared" si="1"/>
        <v>89.045000000000002</v>
      </c>
      <c r="F30" s="93">
        <f t="shared" si="0"/>
        <v>195.89900000000003</v>
      </c>
      <c r="G30" s="93" t="s">
        <v>120</v>
      </c>
      <c r="H30" s="20"/>
      <c r="I30" s="20"/>
      <c r="J30" s="62" t="s">
        <v>143</v>
      </c>
      <c r="K30" s="44"/>
      <c r="L30" s="44">
        <f t="shared" si="5"/>
        <v>1199.9960000000001</v>
      </c>
      <c r="M30" s="44">
        <f t="shared" si="6"/>
        <v>1199.9960000000001</v>
      </c>
      <c r="N30" s="44" t="str">
        <f t="shared" si="4"/>
        <v>Cr</v>
      </c>
      <c r="O30" s="44"/>
    </row>
    <row r="31" spans="1:21">
      <c r="A31" s="96" t="s">
        <v>144</v>
      </c>
      <c r="B31" s="93">
        <v>8.81</v>
      </c>
      <c r="C31" s="93">
        <v>9.49</v>
      </c>
      <c r="D31" s="93">
        <v>2.9</v>
      </c>
      <c r="E31" s="24">
        <f t="shared" si="1"/>
        <v>95.224999999999994</v>
      </c>
      <c r="F31" s="93">
        <f t="shared" si="0"/>
        <v>276.15249999999997</v>
      </c>
      <c r="G31" s="93" t="s">
        <v>155</v>
      </c>
      <c r="H31" s="20"/>
      <c r="I31" s="20"/>
      <c r="J31" s="62" t="s">
        <v>144</v>
      </c>
      <c r="K31" s="44"/>
      <c r="L31" s="44">
        <f t="shared" si="5"/>
        <v>1476.1485</v>
      </c>
      <c r="M31" s="44">
        <f t="shared" si="6"/>
        <v>1476.1485</v>
      </c>
      <c r="N31" s="44" t="str">
        <f t="shared" si="4"/>
        <v>Cr</v>
      </c>
      <c r="O31" s="44"/>
    </row>
    <row r="32" spans="1:21">
      <c r="A32" s="96" t="s">
        <v>145</v>
      </c>
      <c r="B32" s="93">
        <v>7.89</v>
      </c>
      <c r="C32" s="93">
        <v>9.92</v>
      </c>
      <c r="D32" s="93">
        <v>2</v>
      </c>
      <c r="E32" s="24">
        <f t="shared" si="1"/>
        <v>90.965000000000003</v>
      </c>
      <c r="F32" s="93">
        <f t="shared" si="0"/>
        <v>181.93</v>
      </c>
      <c r="G32" s="93" t="s">
        <v>120</v>
      </c>
      <c r="H32" s="20"/>
      <c r="I32" s="20"/>
      <c r="J32" s="62" t="s">
        <v>145</v>
      </c>
      <c r="K32" s="44"/>
      <c r="L32" s="44">
        <f t="shared" si="5"/>
        <v>1658.0785000000001</v>
      </c>
      <c r="M32" s="44">
        <f t="shared" si="6"/>
        <v>1658.0785000000001</v>
      </c>
      <c r="N32" s="44" t="str">
        <f t="shared" si="4"/>
        <v>Cr</v>
      </c>
      <c r="O32" s="44"/>
    </row>
    <row r="33" spans="1:15">
      <c r="A33" s="96" t="s">
        <v>146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146</v>
      </c>
      <c r="K33" s="44"/>
      <c r="L33" s="44">
        <f t="shared" si="5"/>
        <v>1658.0785000000001</v>
      </c>
      <c r="M33" s="44">
        <f t="shared" si="6"/>
        <v>1658.0785000000001</v>
      </c>
      <c r="N33" s="44" t="str">
        <f t="shared" si="4"/>
        <v>Cr</v>
      </c>
      <c r="O33" s="44"/>
    </row>
    <row r="34" spans="1:15">
      <c r="A34" s="96" t="s">
        <v>147</v>
      </c>
      <c r="B34" s="93">
        <v>7.89</v>
      </c>
      <c r="C34" s="93">
        <v>9.92</v>
      </c>
      <c r="D34" s="93">
        <v>2.2999999999999998</v>
      </c>
      <c r="E34" s="24">
        <f t="shared" si="1"/>
        <v>90.965000000000003</v>
      </c>
      <c r="F34" s="93">
        <f t="shared" si="0"/>
        <v>209.21949999999998</v>
      </c>
      <c r="G34" s="93" t="s">
        <v>155</v>
      </c>
      <c r="H34" s="20"/>
      <c r="I34" s="20"/>
      <c r="J34" s="62" t="s">
        <v>147</v>
      </c>
      <c r="K34" s="44">
        <v>2000</v>
      </c>
      <c r="L34" s="44">
        <f t="shared" si="5"/>
        <v>1867.298</v>
      </c>
      <c r="M34" s="44">
        <f>(M33+F34-K34)</f>
        <v>-132.702</v>
      </c>
      <c r="N34" s="44" t="str">
        <f t="shared" si="4"/>
        <v>Dr</v>
      </c>
      <c r="O34" s="44"/>
    </row>
    <row r="35" spans="1:15">
      <c r="A35" s="96" t="s">
        <v>148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155</v>
      </c>
      <c r="H35" s="20"/>
      <c r="I35" s="20"/>
      <c r="J35" s="62" t="s">
        <v>148</v>
      </c>
      <c r="K35" s="44"/>
      <c r="L35" s="44">
        <f t="shared" si="5"/>
        <v>1867.298</v>
      </c>
      <c r="M35" s="44">
        <f t="shared" si="6"/>
        <v>-132.702</v>
      </c>
      <c r="N35" s="44" t="str">
        <f t="shared" si="4"/>
        <v>Dr</v>
      </c>
      <c r="O35" s="44"/>
    </row>
    <row r="36" spans="1:15">
      <c r="A36" s="96" t="s">
        <v>149</v>
      </c>
      <c r="B36" s="93">
        <v>7.4</v>
      </c>
      <c r="C36" s="93">
        <v>9.2899999999999991</v>
      </c>
      <c r="D36" s="93">
        <v>3.5</v>
      </c>
      <c r="E36" s="24">
        <f t="shared" si="1"/>
        <v>85.259999999999991</v>
      </c>
      <c r="F36" s="93">
        <f t="shared" si="0"/>
        <v>298.40999999999997</v>
      </c>
      <c r="G36" s="93" t="s">
        <v>120</v>
      </c>
      <c r="H36" s="20"/>
      <c r="I36" s="20"/>
      <c r="J36" s="62" t="s">
        <v>149</v>
      </c>
      <c r="K36" s="44"/>
      <c r="L36" s="44">
        <f t="shared" si="5"/>
        <v>2165.7080000000001</v>
      </c>
      <c r="M36" s="44">
        <f t="shared" si="6"/>
        <v>165.70799999999997</v>
      </c>
      <c r="N36" s="44" t="str">
        <f t="shared" si="4"/>
        <v>Cr</v>
      </c>
      <c r="O36" s="44"/>
    </row>
    <row r="37" spans="1:15">
      <c r="A37" s="96" t="s">
        <v>150</v>
      </c>
      <c r="B37" s="93">
        <v>7.65</v>
      </c>
      <c r="C37" s="93">
        <v>9.0299999999999994</v>
      </c>
      <c r="D37" s="93">
        <v>2.2000000000000002</v>
      </c>
      <c r="E37" s="24">
        <f t="shared" si="1"/>
        <v>85.844999999999999</v>
      </c>
      <c r="F37" s="93">
        <f t="shared" si="0"/>
        <v>188.85900000000001</v>
      </c>
      <c r="G37" s="93" t="s">
        <v>120</v>
      </c>
      <c r="H37" s="20"/>
      <c r="I37" s="20"/>
      <c r="J37" s="62" t="s">
        <v>150</v>
      </c>
      <c r="K37" s="44"/>
      <c r="L37" s="44">
        <f t="shared" si="5"/>
        <v>2354.567</v>
      </c>
      <c r="M37" s="44">
        <f t="shared" si="6"/>
        <v>354.56700000000001</v>
      </c>
      <c r="N37" s="44" t="str">
        <f t="shared" si="4"/>
        <v>Cr</v>
      </c>
      <c r="O37" s="44"/>
    </row>
    <row r="38" spans="1:15">
      <c r="A38" s="96" t="s">
        <v>151</v>
      </c>
      <c r="B38" s="93">
        <v>7.65</v>
      </c>
      <c r="C38" s="93">
        <v>9.0299999999999994</v>
      </c>
      <c r="D38" s="93">
        <v>2.2000000000000002</v>
      </c>
      <c r="E38" s="24">
        <f t="shared" si="1"/>
        <v>85.844999999999999</v>
      </c>
      <c r="F38" s="93">
        <f t="shared" si="0"/>
        <v>188.85900000000001</v>
      </c>
      <c r="G38" s="93" t="s">
        <v>120</v>
      </c>
      <c r="H38" s="20"/>
      <c r="I38" s="20"/>
      <c r="J38" s="62" t="s">
        <v>151</v>
      </c>
      <c r="K38" s="44"/>
      <c r="L38" s="44">
        <f t="shared" si="5"/>
        <v>2543.4259999999999</v>
      </c>
      <c r="M38" s="44">
        <f t="shared" si="6"/>
        <v>543.42600000000004</v>
      </c>
      <c r="N38" s="44" t="str">
        <f t="shared" si="4"/>
        <v>Cr</v>
      </c>
      <c r="O38" s="44"/>
    </row>
    <row r="39" spans="1:15">
      <c r="A39" s="96" t="s">
        <v>152</v>
      </c>
      <c r="B39" s="93">
        <v>7.8</v>
      </c>
      <c r="C39" s="93">
        <v>10</v>
      </c>
      <c r="D39" s="93">
        <v>2.2000000000000002</v>
      </c>
      <c r="E39" s="24">
        <f t="shared" si="1"/>
        <v>90.699999999999989</v>
      </c>
      <c r="F39" s="93">
        <f t="shared" si="0"/>
        <v>199.54</v>
      </c>
      <c r="G39" s="93" t="s">
        <v>120</v>
      </c>
      <c r="H39" s="20"/>
      <c r="I39" s="20"/>
      <c r="J39" s="62" t="s">
        <v>152</v>
      </c>
      <c r="K39" s="44"/>
      <c r="L39" s="44">
        <f t="shared" si="5"/>
        <v>2742.9659999999999</v>
      </c>
      <c r="M39" s="44">
        <f t="shared" si="6"/>
        <v>742.96600000000001</v>
      </c>
      <c r="N39" s="44" t="str">
        <f t="shared" si="4"/>
        <v>Cr</v>
      </c>
      <c r="O39" s="44"/>
    </row>
    <row r="40" spans="1:15">
      <c r="A40" s="167" t="s">
        <v>153</v>
      </c>
      <c r="B40" s="168">
        <v>7.9</v>
      </c>
      <c r="C40" s="168">
        <v>9.3000000000000007</v>
      </c>
      <c r="D40" s="168">
        <v>2.1</v>
      </c>
      <c r="E40" s="168">
        <f t="shared" si="1"/>
        <v>88.550000000000011</v>
      </c>
      <c r="F40" s="168">
        <f t="shared" si="0"/>
        <v>185.95500000000004</v>
      </c>
      <c r="G40" s="168" t="s">
        <v>155</v>
      </c>
      <c r="H40" s="20"/>
      <c r="I40" s="20"/>
      <c r="J40" s="62" t="s">
        <v>153</v>
      </c>
      <c r="K40" s="44"/>
      <c r="L40" s="44">
        <f t="shared" si="5"/>
        <v>2928.9209999999998</v>
      </c>
      <c r="M40" s="44">
        <f t="shared" si="6"/>
        <v>928.92100000000005</v>
      </c>
      <c r="N40" s="44" t="str">
        <f t="shared" si="4"/>
        <v>Cr</v>
      </c>
      <c r="O40" s="44"/>
    </row>
    <row r="41" spans="1:15">
      <c r="A41" s="96" t="s">
        <v>154</v>
      </c>
      <c r="B41" s="93">
        <v>8.3000000000000007</v>
      </c>
      <c r="C41" s="93">
        <v>9.3000000000000007</v>
      </c>
      <c r="D41" s="93">
        <v>2.1</v>
      </c>
      <c r="E41" s="24">
        <f t="shared" si="1"/>
        <v>91.15</v>
      </c>
      <c r="F41" s="93">
        <f t="shared" si="0"/>
        <v>191.41500000000002</v>
      </c>
      <c r="G41" s="93" t="s">
        <v>120</v>
      </c>
      <c r="H41" s="20"/>
      <c r="I41" s="20"/>
      <c r="J41" s="62" t="s">
        <v>154</v>
      </c>
      <c r="K41" s="44"/>
      <c r="L41" s="44">
        <f t="shared" si="5"/>
        <v>3120.3359999999998</v>
      </c>
      <c r="M41" s="44">
        <f t="shared" ref="M41:M54" si="7">(M40+F41-K41)</f>
        <v>1120.336</v>
      </c>
      <c r="N41" s="44" t="str">
        <f t="shared" si="4"/>
        <v>Cr</v>
      </c>
      <c r="O41" s="44"/>
    </row>
    <row r="42" spans="1:15">
      <c r="A42" s="96" t="s">
        <v>156</v>
      </c>
      <c r="B42" s="93">
        <v>8</v>
      </c>
      <c r="C42" s="93">
        <v>9.3000000000000007</v>
      </c>
      <c r="D42" s="93">
        <v>3.7</v>
      </c>
      <c r="E42" s="24">
        <f t="shared" si="1"/>
        <v>89.2</v>
      </c>
      <c r="F42" s="93">
        <f t="shared" si="0"/>
        <v>330.04</v>
      </c>
      <c r="G42" s="93" t="s">
        <v>120</v>
      </c>
      <c r="H42" s="20"/>
      <c r="I42" s="20"/>
      <c r="J42" s="62" t="s">
        <v>156</v>
      </c>
      <c r="K42" s="155"/>
      <c r="L42" s="44">
        <f t="shared" si="5"/>
        <v>3450.3759999999997</v>
      </c>
      <c r="M42" s="44">
        <f t="shared" si="7"/>
        <v>1450.376</v>
      </c>
      <c r="N42" s="44"/>
      <c r="O42" s="44"/>
    </row>
    <row r="43" spans="1:15">
      <c r="A43" s="96" t="s">
        <v>157</v>
      </c>
      <c r="B43" s="93">
        <v>8</v>
      </c>
      <c r="C43" s="93">
        <v>9.1999999999999993</v>
      </c>
      <c r="D43" s="93">
        <v>2.1</v>
      </c>
      <c r="E43" s="24">
        <f t="shared" si="1"/>
        <v>88.8</v>
      </c>
      <c r="F43" s="93">
        <f t="shared" si="0"/>
        <v>186.48</v>
      </c>
      <c r="G43" s="93" t="s">
        <v>120</v>
      </c>
      <c r="H43" s="20"/>
      <c r="I43" s="20"/>
      <c r="J43" s="62" t="s">
        <v>157</v>
      </c>
      <c r="K43" s="155"/>
      <c r="L43" s="44">
        <f t="shared" si="5"/>
        <v>3636.8559999999998</v>
      </c>
      <c r="M43" s="44">
        <f t="shared" si="7"/>
        <v>1636.856</v>
      </c>
      <c r="N43" s="44"/>
      <c r="O43" s="44"/>
    </row>
    <row r="44" spans="1:15">
      <c r="A44" s="96" t="s">
        <v>158</v>
      </c>
      <c r="B44" s="93">
        <v>7.9</v>
      </c>
      <c r="C44" s="93">
        <v>9.3000000000000007</v>
      </c>
      <c r="D44" s="93">
        <v>3.5</v>
      </c>
      <c r="E44" s="24">
        <f t="shared" si="1"/>
        <v>88.550000000000011</v>
      </c>
      <c r="F44" s="93">
        <f t="shared" si="0"/>
        <v>309.92500000000007</v>
      </c>
      <c r="G44" s="93" t="s">
        <v>120</v>
      </c>
      <c r="H44" s="20"/>
      <c r="I44" s="20"/>
      <c r="J44" s="62" t="s">
        <v>158</v>
      </c>
      <c r="K44" s="44"/>
      <c r="L44" s="44">
        <f t="shared" si="5"/>
        <v>3946.7809999999999</v>
      </c>
      <c r="M44" s="44">
        <f t="shared" si="7"/>
        <v>1946.7809999999999</v>
      </c>
      <c r="N44" s="44"/>
      <c r="O44" s="44"/>
    </row>
    <row r="45" spans="1:15">
      <c r="A45" s="96" t="s">
        <v>159</v>
      </c>
      <c r="B45" s="93">
        <v>7.8</v>
      </c>
      <c r="C45" s="93">
        <v>9</v>
      </c>
      <c r="D45" s="93">
        <v>1.9</v>
      </c>
      <c r="E45" s="24">
        <f t="shared" si="1"/>
        <v>86.699999999999989</v>
      </c>
      <c r="F45" s="93">
        <f t="shared" si="0"/>
        <v>164.72999999999996</v>
      </c>
      <c r="G45" s="93" t="s">
        <v>120</v>
      </c>
      <c r="H45" s="20"/>
      <c r="I45" s="20"/>
      <c r="J45" s="62" t="s">
        <v>159</v>
      </c>
      <c r="K45" s="44">
        <v>2100</v>
      </c>
      <c r="L45" s="44">
        <f t="shared" si="5"/>
        <v>4111.5109999999995</v>
      </c>
      <c r="M45" s="44">
        <f t="shared" si="7"/>
        <v>11.510999999999967</v>
      </c>
      <c r="N45" s="44"/>
      <c r="O45" s="44"/>
    </row>
    <row r="46" spans="1:15">
      <c r="A46" s="96" t="s">
        <v>160</v>
      </c>
      <c r="B46" s="93">
        <v>7.1</v>
      </c>
      <c r="C46" s="93">
        <v>7.3</v>
      </c>
      <c r="D46" s="93">
        <v>3.3</v>
      </c>
      <c r="E46" s="24">
        <f t="shared" si="1"/>
        <v>75.349999999999994</v>
      </c>
      <c r="F46" s="93">
        <f t="shared" si="0"/>
        <v>248.65499999999997</v>
      </c>
      <c r="G46" s="93" t="s">
        <v>120</v>
      </c>
      <c r="H46" s="20"/>
      <c r="I46" s="20"/>
      <c r="J46" s="62" t="s">
        <v>160</v>
      </c>
      <c r="K46" s="44"/>
      <c r="L46" s="44">
        <f t="shared" si="5"/>
        <v>4360.1659999999993</v>
      </c>
      <c r="M46" s="44">
        <f t="shared" si="7"/>
        <v>260.16599999999994</v>
      </c>
      <c r="N46" s="44"/>
      <c r="O46" s="44"/>
    </row>
    <row r="47" spans="1:15">
      <c r="A47" s="96" t="s">
        <v>161</v>
      </c>
      <c r="B47" s="93">
        <v>10.199999999999999</v>
      </c>
      <c r="C47" s="93">
        <v>9.1999999999999993</v>
      </c>
      <c r="D47" s="93">
        <v>3.6</v>
      </c>
      <c r="E47" s="24">
        <f t="shared" si="1"/>
        <v>103.1</v>
      </c>
      <c r="F47" s="93">
        <f t="shared" si="0"/>
        <v>371.15999999999997</v>
      </c>
      <c r="G47" s="93" t="s">
        <v>120</v>
      </c>
      <c r="H47" s="20"/>
      <c r="I47" s="20"/>
      <c r="J47" s="62" t="s">
        <v>161</v>
      </c>
      <c r="K47" s="44"/>
      <c r="L47" s="44">
        <f t="shared" si="5"/>
        <v>4731.3259999999991</v>
      </c>
      <c r="M47" s="44">
        <f t="shared" si="7"/>
        <v>631.32599999999991</v>
      </c>
      <c r="N47" s="44"/>
      <c r="O47" s="44"/>
    </row>
    <row r="48" spans="1:15">
      <c r="A48" s="96" t="s">
        <v>162</v>
      </c>
      <c r="B48" s="99">
        <v>9.6</v>
      </c>
      <c r="C48" s="99">
        <v>9.1</v>
      </c>
      <c r="D48" s="99">
        <v>3.1</v>
      </c>
      <c r="E48" s="24">
        <f t="shared" si="1"/>
        <v>98.8</v>
      </c>
      <c r="F48" s="93">
        <f t="shared" si="0"/>
        <v>306.27999999999997</v>
      </c>
      <c r="G48" s="93" t="s">
        <v>120</v>
      </c>
      <c r="H48" s="20"/>
      <c r="I48" s="20"/>
      <c r="J48" s="79" t="s">
        <v>162</v>
      </c>
      <c r="K48" s="86"/>
      <c r="L48" s="44">
        <f t="shared" si="5"/>
        <v>5037.6059999999989</v>
      </c>
      <c r="M48" s="44">
        <f t="shared" si="7"/>
        <v>937.60599999999988</v>
      </c>
      <c r="N48" s="86"/>
      <c r="O48" s="86"/>
    </row>
    <row r="49" spans="1:15">
      <c r="A49" s="157" t="s">
        <v>163</v>
      </c>
      <c r="B49" s="44">
        <v>8.3000000000000007</v>
      </c>
      <c r="C49" s="44">
        <v>9.1999999999999993</v>
      </c>
      <c r="D49" s="44">
        <v>3</v>
      </c>
      <c r="E49" s="24">
        <f t="shared" si="1"/>
        <v>90.75</v>
      </c>
      <c r="F49" s="93">
        <f t="shared" si="0"/>
        <v>272.25</v>
      </c>
      <c r="G49" s="93" t="s">
        <v>120</v>
      </c>
      <c r="J49" s="157" t="s">
        <v>163</v>
      </c>
      <c r="K49" s="44"/>
      <c r="L49" s="44">
        <f t="shared" si="5"/>
        <v>5309.8559999999989</v>
      </c>
      <c r="M49" s="44">
        <f t="shared" si="7"/>
        <v>1209.8559999999998</v>
      </c>
      <c r="N49" s="44"/>
      <c r="O49" s="44"/>
    </row>
    <row r="50" spans="1:15">
      <c r="A50" s="157" t="s">
        <v>164</v>
      </c>
      <c r="B50" s="44">
        <v>8.6</v>
      </c>
      <c r="C50" s="44">
        <v>8.1999999999999993</v>
      </c>
      <c r="D50" s="44">
        <v>3</v>
      </c>
      <c r="E50" s="24">
        <f t="shared" si="1"/>
        <v>88.699999999999989</v>
      </c>
      <c r="F50" s="93">
        <f t="shared" si="0"/>
        <v>266.09999999999997</v>
      </c>
      <c r="G50" s="93" t="s">
        <v>120</v>
      </c>
      <c r="J50" s="157" t="s">
        <v>164</v>
      </c>
      <c r="K50" s="44"/>
      <c r="L50" s="44">
        <f t="shared" si="5"/>
        <v>5575.9559999999992</v>
      </c>
      <c r="M50" s="44">
        <f t="shared" si="7"/>
        <v>1475.9559999999997</v>
      </c>
      <c r="N50" s="44"/>
      <c r="O50" s="44"/>
    </row>
    <row r="51" spans="1:15">
      <c r="A51" s="157" t="s">
        <v>165</v>
      </c>
      <c r="B51" s="44">
        <v>8.8000000000000007</v>
      </c>
      <c r="C51" s="44">
        <v>9.9</v>
      </c>
      <c r="D51" s="44">
        <v>2</v>
      </c>
      <c r="E51" s="24">
        <f t="shared" si="1"/>
        <v>96.800000000000011</v>
      </c>
      <c r="F51" s="93">
        <f t="shared" si="0"/>
        <v>193.60000000000002</v>
      </c>
      <c r="G51" s="93" t="s">
        <v>120</v>
      </c>
      <c r="J51" s="157" t="s">
        <v>165</v>
      </c>
      <c r="K51" s="44"/>
      <c r="L51" s="44">
        <f t="shared" si="5"/>
        <v>5769.5559999999996</v>
      </c>
      <c r="M51" s="44">
        <f t="shared" si="7"/>
        <v>1669.5559999999996</v>
      </c>
      <c r="N51" s="44"/>
      <c r="O51" s="44"/>
    </row>
    <row r="52" spans="1:15">
      <c r="A52" s="157" t="s">
        <v>166</v>
      </c>
      <c r="B52" s="44">
        <v>8.3000000000000007</v>
      </c>
      <c r="C52" s="44">
        <v>8.3000000000000007</v>
      </c>
      <c r="D52" s="44">
        <v>3</v>
      </c>
      <c r="E52" s="24">
        <f t="shared" si="1"/>
        <v>87.15</v>
      </c>
      <c r="F52" s="93">
        <f t="shared" si="0"/>
        <v>261.45000000000005</v>
      </c>
      <c r="G52" s="93" t="s">
        <v>120</v>
      </c>
      <c r="J52" s="157" t="s">
        <v>166</v>
      </c>
      <c r="K52" s="44"/>
      <c r="L52" s="44">
        <f t="shared" si="5"/>
        <v>6031.0059999999994</v>
      </c>
      <c r="M52" s="44">
        <f t="shared" si="7"/>
        <v>1931.0059999999996</v>
      </c>
      <c r="N52" s="44"/>
      <c r="O52" s="44"/>
    </row>
    <row r="53" spans="1:15">
      <c r="A53" s="160" t="s">
        <v>167</v>
      </c>
      <c r="B53" s="86">
        <v>8.6</v>
      </c>
      <c r="C53" s="86">
        <v>9.3000000000000007</v>
      </c>
      <c r="D53" s="86">
        <v>2.6</v>
      </c>
      <c r="E53" s="80">
        <f t="shared" si="1"/>
        <v>93.1</v>
      </c>
      <c r="F53" s="99">
        <f t="shared" si="0"/>
        <v>242.06</v>
      </c>
      <c r="G53" s="93" t="s">
        <v>120</v>
      </c>
      <c r="J53" s="160" t="s">
        <v>167</v>
      </c>
      <c r="K53" s="86"/>
      <c r="L53" s="86">
        <f t="shared" si="5"/>
        <v>6273.0659999999998</v>
      </c>
      <c r="M53" s="86">
        <f t="shared" si="7"/>
        <v>2173.0659999999998</v>
      </c>
      <c r="N53" s="86"/>
      <c r="O53" s="86"/>
    </row>
    <row r="54" spans="1:15">
      <c r="A54" s="88" t="s">
        <v>168</v>
      </c>
      <c r="B54" s="87">
        <v>8.4</v>
      </c>
      <c r="C54" s="87">
        <v>9.1</v>
      </c>
      <c r="D54" s="87">
        <v>3.2</v>
      </c>
      <c r="E54" s="87">
        <f t="shared" si="1"/>
        <v>91</v>
      </c>
      <c r="F54" s="153">
        <f t="shared" si="0"/>
        <v>291.2</v>
      </c>
      <c r="G54" s="93" t="s">
        <v>120</v>
      </c>
      <c r="J54" s="88" t="s">
        <v>168</v>
      </c>
      <c r="K54" s="87">
        <v>2460</v>
      </c>
      <c r="L54" s="87">
        <f t="shared" si="5"/>
        <v>6564.2659999999996</v>
      </c>
      <c r="M54" s="87">
        <f t="shared" si="7"/>
        <v>4.2659999999996217</v>
      </c>
      <c r="N54" s="87"/>
      <c r="O54" s="87"/>
    </row>
    <row r="55" spans="1:15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>
      <c r="A69" s="8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</sheetData>
  <mergeCells count="1">
    <mergeCell ref="B2:G2"/>
  </mergeCells>
  <hyperlinks>
    <hyperlink ref="F5" location="'Customer Index'!A8" display="Customer Code"/>
    <hyperlink ref="G5" location="'Customer Index'!A21" display="Bas14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9"/>
  <sheetViews>
    <sheetView tabSelected="1" topLeftCell="A40" zoomScaleNormal="100" workbookViewId="0">
      <selection activeCell="C52" sqref="C52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233</v>
      </c>
      <c r="B3" s="51"/>
      <c r="C3" s="51"/>
      <c r="F3" s="52" t="s">
        <v>106</v>
      </c>
      <c r="G3" s="53">
        <v>9702350715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53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64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SUM(F8:F69)</f>
        <v>6479.5960000000014</v>
      </c>
      <c r="R8" s="44">
        <f>SUM(K8:K49)</f>
        <v>5000</v>
      </c>
      <c r="S8" s="44">
        <f>(Q8-R8)</f>
        <v>1479.5960000000014</v>
      </c>
      <c r="T8" s="44">
        <f>SUM(D8:D48)</f>
        <v>49.500000000000007</v>
      </c>
      <c r="U8" s="44"/>
    </row>
    <row r="9" spans="1:21">
      <c r="A9" s="62" t="s">
        <v>121</v>
      </c>
      <c r="B9" s="24"/>
      <c r="C9" s="24"/>
      <c r="D9" s="24"/>
      <c r="E9" s="24">
        <f t="shared" ref="E9:E64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61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73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96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>
        <v>10.1</v>
      </c>
      <c r="C26" s="93">
        <v>9.4</v>
      </c>
      <c r="D26" s="93">
        <v>2.4</v>
      </c>
      <c r="E26" s="24">
        <f t="shared" si="1"/>
        <v>103.25</v>
      </c>
      <c r="F26" s="93">
        <f t="shared" si="0"/>
        <v>247.79999999999998</v>
      </c>
      <c r="G26" s="93" t="s">
        <v>120</v>
      </c>
      <c r="H26" s="20"/>
      <c r="I26" s="20"/>
      <c r="J26" s="96" t="s">
        <v>140</v>
      </c>
      <c r="K26" s="44"/>
      <c r="L26" s="44">
        <f t="shared" si="2"/>
        <v>247.79999999999998</v>
      </c>
      <c r="M26" s="44">
        <f t="shared" ref="M26:M40" si="5">(M25+F26-K26)</f>
        <v>247.79999999999998</v>
      </c>
      <c r="N26" s="44"/>
      <c r="O26" s="44"/>
    </row>
    <row r="27" spans="1:21">
      <c r="A27" s="96" t="s">
        <v>141</v>
      </c>
      <c r="B27" s="93">
        <v>7.9</v>
      </c>
      <c r="C27" s="93">
        <v>9.4</v>
      </c>
      <c r="D27" s="93">
        <v>2.7</v>
      </c>
      <c r="E27" s="24">
        <f t="shared" si="1"/>
        <v>88.95</v>
      </c>
      <c r="F27" s="93">
        <f t="shared" si="0"/>
        <v>240.16500000000002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487.96500000000003</v>
      </c>
      <c r="M27" s="44">
        <f>(M26+F27-K27)</f>
        <v>487.96500000000003</v>
      </c>
      <c r="N27" s="44"/>
      <c r="O27" s="44"/>
    </row>
    <row r="28" spans="1:21">
      <c r="A28" s="96" t="s">
        <v>141</v>
      </c>
      <c r="B28" s="93">
        <v>10.1</v>
      </c>
      <c r="C28" s="93">
        <v>9.14</v>
      </c>
      <c r="D28" s="93">
        <v>2.7</v>
      </c>
      <c r="E28" s="93">
        <f t="shared" si="1"/>
        <v>102.21</v>
      </c>
      <c r="F28" s="93">
        <f t="shared" si="0"/>
        <v>275.96699999999998</v>
      </c>
      <c r="G28" s="93" t="s">
        <v>207</v>
      </c>
      <c r="H28" s="20"/>
      <c r="I28" s="20"/>
      <c r="J28" s="96" t="s">
        <v>141</v>
      </c>
      <c r="K28" s="44"/>
      <c r="L28" s="44">
        <f t="shared" si="2"/>
        <v>763.93200000000002</v>
      </c>
      <c r="M28" s="44">
        <f>(M27+F28-K28)</f>
        <v>763.93200000000002</v>
      </c>
      <c r="N28" s="44"/>
      <c r="O28" s="44"/>
    </row>
    <row r="29" spans="1:21">
      <c r="A29" s="96" t="s">
        <v>142</v>
      </c>
      <c r="B29" s="93">
        <v>7.9</v>
      </c>
      <c r="C29" s="93">
        <v>9.4</v>
      </c>
      <c r="D29" s="93">
        <v>2.7</v>
      </c>
      <c r="E29" s="24">
        <f t="shared" si="1"/>
        <v>88.95</v>
      </c>
      <c r="F29" s="93">
        <f t="shared" si="0"/>
        <v>240.16500000000002</v>
      </c>
      <c r="G29" s="93" t="s">
        <v>207</v>
      </c>
      <c r="H29" s="20"/>
      <c r="I29" s="20"/>
      <c r="J29" s="96" t="s">
        <v>142</v>
      </c>
      <c r="K29" s="44"/>
      <c r="L29" s="44">
        <f t="shared" si="2"/>
        <v>1004.097</v>
      </c>
      <c r="M29" s="44">
        <f t="shared" si="5"/>
        <v>1004.097</v>
      </c>
      <c r="N29" s="44"/>
      <c r="O29" s="44"/>
    </row>
    <row r="30" spans="1:21">
      <c r="A30" s="96" t="s">
        <v>143</v>
      </c>
      <c r="B30" s="93">
        <v>7.97</v>
      </c>
      <c r="C30" s="93">
        <v>9.31</v>
      </c>
      <c r="D30" s="93">
        <v>2.2000000000000002</v>
      </c>
      <c r="E30" s="24">
        <f t="shared" si="1"/>
        <v>89.045000000000002</v>
      </c>
      <c r="F30" s="93">
        <f t="shared" si="0"/>
        <v>195.89900000000003</v>
      </c>
      <c r="G30" s="93" t="s">
        <v>120</v>
      </c>
      <c r="H30" s="20"/>
      <c r="I30" s="20"/>
      <c r="J30" s="96" t="s">
        <v>143</v>
      </c>
      <c r="K30" s="44"/>
      <c r="L30" s="44">
        <f t="shared" si="2"/>
        <v>1199.9960000000001</v>
      </c>
      <c r="M30" s="44">
        <f t="shared" si="5"/>
        <v>1199.9960000000001</v>
      </c>
      <c r="N30" s="44"/>
      <c r="O30" s="44"/>
    </row>
    <row r="31" spans="1:21">
      <c r="A31" s="96" t="s">
        <v>144</v>
      </c>
      <c r="B31" s="93">
        <v>8.81</v>
      </c>
      <c r="C31" s="93">
        <v>9.49</v>
      </c>
      <c r="D31" s="93">
        <v>2.9</v>
      </c>
      <c r="E31" s="24">
        <f t="shared" si="1"/>
        <v>95.224999999999994</v>
      </c>
      <c r="F31" s="93">
        <f t="shared" si="0"/>
        <v>276.15249999999997</v>
      </c>
      <c r="G31" s="93" t="s">
        <v>155</v>
      </c>
      <c r="H31" s="20"/>
      <c r="I31" s="20"/>
      <c r="J31" s="96" t="s">
        <v>144</v>
      </c>
      <c r="K31" s="44"/>
      <c r="L31" s="44">
        <f t="shared" si="2"/>
        <v>1476.1485</v>
      </c>
      <c r="M31" s="44">
        <f t="shared" si="5"/>
        <v>1476.1485</v>
      </c>
      <c r="N31" s="44"/>
      <c r="O31" s="44"/>
    </row>
    <row r="32" spans="1:21">
      <c r="A32" s="96" t="s">
        <v>145</v>
      </c>
      <c r="B32" s="93">
        <v>7.89</v>
      </c>
      <c r="C32" s="93">
        <v>9.92</v>
      </c>
      <c r="D32" s="93">
        <v>2</v>
      </c>
      <c r="E32" s="24">
        <f t="shared" si="1"/>
        <v>90.965000000000003</v>
      </c>
      <c r="F32" s="93">
        <f t="shared" si="0"/>
        <v>181.93</v>
      </c>
      <c r="G32" s="93" t="s">
        <v>120</v>
      </c>
      <c r="H32" s="20"/>
      <c r="I32" s="20"/>
      <c r="J32" s="96" t="s">
        <v>145</v>
      </c>
      <c r="K32" s="44"/>
      <c r="L32" s="44">
        <f t="shared" si="2"/>
        <v>1658.0785000000001</v>
      </c>
      <c r="M32" s="44">
        <f t="shared" si="5"/>
        <v>1658.0785000000001</v>
      </c>
      <c r="N32" s="44"/>
      <c r="O32" s="44"/>
    </row>
    <row r="33" spans="1:15">
      <c r="A33" s="96" t="s">
        <v>146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96" t="s">
        <v>146</v>
      </c>
      <c r="K33" s="44"/>
      <c r="L33" s="44">
        <f t="shared" si="2"/>
        <v>1658.0785000000001</v>
      </c>
      <c r="M33" s="44">
        <f t="shared" si="5"/>
        <v>1658.0785000000001</v>
      </c>
      <c r="N33" s="44"/>
      <c r="O33" s="44"/>
    </row>
    <row r="34" spans="1:15">
      <c r="A34" s="96" t="s">
        <v>147</v>
      </c>
      <c r="B34" s="93">
        <v>7.89</v>
      </c>
      <c r="C34" s="93">
        <v>9.92</v>
      </c>
      <c r="D34" s="93">
        <v>2.2999999999999998</v>
      </c>
      <c r="E34" s="24">
        <f t="shared" si="1"/>
        <v>90.965000000000003</v>
      </c>
      <c r="F34" s="93">
        <f t="shared" si="0"/>
        <v>209.21949999999998</v>
      </c>
      <c r="G34" s="93" t="s">
        <v>155</v>
      </c>
      <c r="H34" s="20"/>
      <c r="I34" s="20"/>
      <c r="J34" s="96" t="s">
        <v>147</v>
      </c>
      <c r="K34" s="44"/>
      <c r="L34" s="44">
        <f t="shared" si="2"/>
        <v>1867.298</v>
      </c>
      <c r="M34" s="44">
        <f t="shared" si="5"/>
        <v>1867.298</v>
      </c>
      <c r="N34" s="44"/>
      <c r="O34" s="44"/>
    </row>
    <row r="35" spans="1:15">
      <c r="A35" s="96" t="s">
        <v>148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155</v>
      </c>
      <c r="H35" s="20"/>
      <c r="I35" s="20"/>
      <c r="J35" s="96" t="s">
        <v>148</v>
      </c>
      <c r="K35" s="44"/>
      <c r="L35" s="44">
        <f t="shared" si="2"/>
        <v>1867.298</v>
      </c>
      <c r="M35" s="44">
        <f t="shared" si="5"/>
        <v>1867.298</v>
      </c>
      <c r="N35" s="44"/>
      <c r="O35" s="44"/>
    </row>
    <row r="36" spans="1:15">
      <c r="A36" s="96" t="s">
        <v>149</v>
      </c>
      <c r="B36" s="93">
        <v>7.4</v>
      </c>
      <c r="C36" s="93">
        <v>9.2899999999999991</v>
      </c>
      <c r="D36" s="93">
        <v>3.5</v>
      </c>
      <c r="E36" s="24">
        <f t="shared" si="1"/>
        <v>85.259999999999991</v>
      </c>
      <c r="F36" s="93">
        <f t="shared" si="0"/>
        <v>298.40999999999997</v>
      </c>
      <c r="G36" s="93" t="s">
        <v>120</v>
      </c>
      <c r="H36" s="20"/>
      <c r="I36" s="20"/>
      <c r="J36" s="96" t="s">
        <v>149</v>
      </c>
      <c r="K36" s="44"/>
      <c r="L36" s="44">
        <f t="shared" si="2"/>
        <v>2165.7080000000001</v>
      </c>
      <c r="M36" s="44">
        <f t="shared" si="5"/>
        <v>2165.7080000000001</v>
      </c>
      <c r="N36" s="44"/>
      <c r="O36" s="44"/>
    </row>
    <row r="37" spans="1:15">
      <c r="A37" s="96" t="s">
        <v>150</v>
      </c>
      <c r="B37" s="93">
        <v>7.65</v>
      </c>
      <c r="C37" s="93">
        <v>9.0299999999999994</v>
      </c>
      <c r="D37" s="93">
        <v>2.2000000000000002</v>
      </c>
      <c r="E37" s="24">
        <f t="shared" si="1"/>
        <v>85.844999999999999</v>
      </c>
      <c r="F37" s="93">
        <f t="shared" si="0"/>
        <v>188.85900000000001</v>
      </c>
      <c r="G37" s="93" t="s">
        <v>120</v>
      </c>
      <c r="H37" s="20"/>
      <c r="I37" s="20"/>
      <c r="J37" s="96" t="s">
        <v>150</v>
      </c>
      <c r="K37" s="44"/>
      <c r="L37" s="44">
        <f t="shared" si="2"/>
        <v>2354.567</v>
      </c>
      <c r="M37" s="44">
        <f t="shared" si="5"/>
        <v>2354.567</v>
      </c>
      <c r="N37" s="44"/>
      <c r="O37" s="44"/>
    </row>
    <row r="38" spans="1:15">
      <c r="A38" s="96" t="s">
        <v>151</v>
      </c>
      <c r="B38" s="93">
        <v>7.65</v>
      </c>
      <c r="C38" s="93">
        <v>9.0299999999999994</v>
      </c>
      <c r="D38" s="93">
        <v>2.2000000000000002</v>
      </c>
      <c r="E38" s="24">
        <f t="shared" si="1"/>
        <v>85.844999999999999</v>
      </c>
      <c r="F38" s="93">
        <f t="shared" si="0"/>
        <v>188.85900000000001</v>
      </c>
      <c r="G38" s="93" t="s">
        <v>120</v>
      </c>
      <c r="H38" s="20"/>
      <c r="I38" s="20"/>
      <c r="J38" s="96" t="s">
        <v>151</v>
      </c>
      <c r="K38" s="44"/>
      <c r="L38" s="44">
        <f t="shared" si="2"/>
        <v>2543.4259999999999</v>
      </c>
      <c r="M38" s="44">
        <f t="shared" si="5"/>
        <v>2543.4259999999999</v>
      </c>
      <c r="N38" s="44"/>
      <c r="O38" s="44"/>
    </row>
    <row r="39" spans="1:15">
      <c r="A39" s="96" t="s">
        <v>152</v>
      </c>
      <c r="B39" s="93">
        <v>7.8</v>
      </c>
      <c r="C39" s="93">
        <v>10</v>
      </c>
      <c r="D39" s="93">
        <v>2.2000000000000002</v>
      </c>
      <c r="E39" s="24">
        <f t="shared" si="1"/>
        <v>90.699999999999989</v>
      </c>
      <c r="F39" s="93">
        <f t="shared" si="0"/>
        <v>199.54</v>
      </c>
      <c r="G39" s="93" t="s">
        <v>120</v>
      </c>
      <c r="H39" s="20"/>
      <c r="I39" s="20"/>
      <c r="J39" s="96" t="s">
        <v>152</v>
      </c>
      <c r="K39" s="44"/>
      <c r="L39" s="44">
        <f t="shared" si="2"/>
        <v>2742.9659999999999</v>
      </c>
      <c r="M39" s="44">
        <f t="shared" si="5"/>
        <v>2742.9659999999999</v>
      </c>
      <c r="N39" s="44"/>
      <c r="O39" s="44"/>
    </row>
    <row r="40" spans="1:15">
      <c r="A40" s="167" t="s">
        <v>153</v>
      </c>
      <c r="B40" s="168">
        <v>7.9</v>
      </c>
      <c r="C40" s="168">
        <v>9.3000000000000007</v>
      </c>
      <c r="D40" s="168">
        <v>2.1</v>
      </c>
      <c r="E40" s="168">
        <f t="shared" si="1"/>
        <v>88.550000000000011</v>
      </c>
      <c r="F40" s="168">
        <f t="shared" si="0"/>
        <v>185.95500000000004</v>
      </c>
      <c r="G40" s="168" t="s">
        <v>155</v>
      </c>
      <c r="H40" s="20"/>
      <c r="I40" s="20"/>
      <c r="J40" s="167" t="s">
        <v>153</v>
      </c>
      <c r="K40" s="44"/>
      <c r="L40" s="44">
        <f t="shared" si="2"/>
        <v>2928.9209999999998</v>
      </c>
      <c r="M40" s="44">
        <f t="shared" si="5"/>
        <v>2928.9209999999998</v>
      </c>
      <c r="N40" s="44"/>
      <c r="O40" s="44"/>
    </row>
    <row r="41" spans="1:15">
      <c r="A41" s="96" t="s">
        <v>154</v>
      </c>
      <c r="B41" s="93">
        <v>8.3000000000000007</v>
      </c>
      <c r="C41" s="93">
        <v>9.3000000000000007</v>
      </c>
      <c r="D41" s="93">
        <v>2.1</v>
      </c>
      <c r="E41" s="24">
        <f t="shared" si="1"/>
        <v>91.15</v>
      </c>
      <c r="F41" s="93">
        <f t="shared" si="0"/>
        <v>191.41500000000002</v>
      </c>
      <c r="G41" s="93" t="s">
        <v>120</v>
      </c>
      <c r="H41" s="20"/>
      <c r="I41" s="20"/>
      <c r="J41" s="96" t="s">
        <v>154</v>
      </c>
      <c r="K41" s="44"/>
      <c r="L41" s="44">
        <f t="shared" si="2"/>
        <v>3120.3359999999998</v>
      </c>
      <c r="M41" s="44">
        <f>(M40+F41-K41)</f>
        <v>3120.3359999999998</v>
      </c>
      <c r="N41" s="44"/>
      <c r="O41" s="44"/>
    </row>
    <row r="42" spans="1:15">
      <c r="A42" s="96" t="s">
        <v>154</v>
      </c>
      <c r="B42" s="93">
        <v>10</v>
      </c>
      <c r="C42" s="93">
        <v>9</v>
      </c>
      <c r="D42" s="93">
        <v>2.4</v>
      </c>
      <c r="E42" s="24">
        <f t="shared" si="1"/>
        <v>101</v>
      </c>
      <c r="F42" s="93">
        <f t="shared" si="0"/>
        <v>242.39999999999998</v>
      </c>
      <c r="G42" s="93" t="s">
        <v>207</v>
      </c>
      <c r="H42" s="20"/>
      <c r="I42" s="20"/>
      <c r="J42" s="96" t="s">
        <v>154</v>
      </c>
      <c r="K42" s="155"/>
      <c r="L42" s="44">
        <f t="shared" si="2"/>
        <v>3362.7359999999999</v>
      </c>
      <c r="M42" s="44">
        <f t="shared" ref="M42:M61" si="6">(M41+F42-K42)</f>
        <v>3362.7359999999999</v>
      </c>
      <c r="N42" s="44"/>
      <c r="O42" s="44"/>
    </row>
    <row r="43" spans="1:15">
      <c r="A43" s="96" t="s">
        <v>156</v>
      </c>
      <c r="B43" s="93">
        <v>6.9</v>
      </c>
      <c r="C43" s="93">
        <v>9.3000000000000007</v>
      </c>
      <c r="D43" s="93">
        <v>3</v>
      </c>
      <c r="E43" s="24">
        <f t="shared" si="1"/>
        <v>82.050000000000011</v>
      </c>
      <c r="F43" s="93">
        <f t="shared" si="0"/>
        <v>246.15000000000003</v>
      </c>
      <c r="G43" s="93" t="s">
        <v>120</v>
      </c>
      <c r="H43" s="20"/>
      <c r="I43" s="20"/>
      <c r="J43" s="96" t="s">
        <v>156</v>
      </c>
      <c r="K43" s="155"/>
      <c r="L43" s="44">
        <f t="shared" si="2"/>
        <v>3608.886</v>
      </c>
      <c r="M43" s="44">
        <f t="shared" si="6"/>
        <v>3608.886</v>
      </c>
      <c r="N43" s="44"/>
      <c r="O43" s="44"/>
    </row>
    <row r="44" spans="1:15">
      <c r="A44" s="96" t="s">
        <v>156</v>
      </c>
      <c r="B44" s="93">
        <v>9.6</v>
      </c>
      <c r="C44" s="93">
        <v>9.1</v>
      </c>
      <c r="D44" s="93">
        <v>2.7</v>
      </c>
      <c r="E44" s="24">
        <f t="shared" si="1"/>
        <v>98.8</v>
      </c>
      <c r="F44" s="93">
        <f t="shared" si="0"/>
        <v>266.76</v>
      </c>
      <c r="G44" s="93" t="s">
        <v>207</v>
      </c>
      <c r="H44" s="20"/>
      <c r="I44" s="20"/>
      <c r="J44" s="96" t="s">
        <v>156</v>
      </c>
      <c r="K44" s="44"/>
      <c r="L44" s="44">
        <f t="shared" si="2"/>
        <v>3875.6459999999997</v>
      </c>
      <c r="M44" s="44">
        <f t="shared" si="6"/>
        <v>3875.6459999999997</v>
      </c>
      <c r="N44" s="44"/>
      <c r="O44" s="44"/>
    </row>
    <row r="45" spans="1:15">
      <c r="A45" s="189" t="s">
        <v>157</v>
      </c>
      <c r="B45" s="188">
        <v>6</v>
      </c>
      <c r="C45" s="188">
        <v>9.1999999999999993</v>
      </c>
      <c r="D45" s="188">
        <v>2</v>
      </c>
      <c r="E45" s="188">
        <f t="shared" si="1"/>
        <v>75.8</v>
      </c>
      <c r="F45" s="188">
        <f t="shared" si="0"/>
        <v>151.6</v>
      </c>
      <c r="G45" s="188" t="s">
        <v>120</v>
      </c>
      <c r="H45" s="20"/>
      <c r="I45" s="20"/>
      <c r="J45" s="189" t="s">
        <v>157</v>
      </c>
      <c r="K45" s="44"/>
      <c r="L45" s="44">
        <f t="shared" si="2"/>
        <v>4027.2459999999996</v>
      </c>
      <c r="M45" s="44">
        <f t="shared" si="6"/>
        <v>4027.2459999999996</v>
      </c>
      <c r="N45" s="44"/>
      <c r="O45" s="44"/>
    </row>
    <row r="46" spans="1:15">
      <c r="A46" s="195" t="s">
        <v>157</v>
      </c>
      <c r="B46" s="196">
        <v>9.1999999999999993</v>
      </c>
      <c r="C46" s="196">
        <v>9</v>
      </c>
      <c r="D46" s="196">
        <v>2.6</v>
      </c>
      <c r="E46" s="196">
        <f t="shared" si="1"/>
        <v>95.8</v>
      </c>
      <c r="F46" s="196">
        <f t="shared" si="0"/>
        <v>249.08</v>
      </c>
      <c r="G46" s="196" t="s">
        <v>155</v>
      </c>
      <c r="H46" s="20"/>
      <c r="I46" s="20"/>
      <c r="J46" s="195" t="s">
        <v>157</v>
      </c>
      <c r="K46" s="44"/>
      <c r="L46" s="44">
        <f t="shared" si="2"/>
        <v>4276.326</v>
      </c>
      <c r="M46" s="44">
        <f t="shared" si="6"/>
        <v>4276.326</v>
      </c>
      <c r="N46" s="44"/>
      <c r="O46" s="44"/>
    </row>
    <row r="47" spans="1:15">
      <c r="A47" s="96" t="s">
        <v>158</v>
      </c>
      <c r="B47" s="93">
        <v>8.4</v>
      </c>
      <c r="C47" s="93">
        <v>9.1999999999999993</v>
      </c>
      <c r="D47" s="93">
        <v>2.6</v>
      </c>
      <c r="E47" s="188">
        <f t="shared" si="1"/>
        <v>91.4</v>
      </c>
      <c r="F47" s="93">
        <f t="shared" si="0"/>
        <v>237.64000000000001</v>
      </c>
      <c r="G47" s="93" t="s">
        <v>207</v>
      </c>
      <c r="H47" s="20"/>
      <c r="I47" s="20"/>
      <c r="J47" s="96" t="s">
        <v>158</v>
      </c>
      <c r="K47" s="44">
        <v>5000</v>
      </c>
      <c r="L47" s="44">
        <f t="shared" si="2"/>
        <v>4513.9660000000003</v>
      </c>
      <c r="M47" s="44">
        <f t="shared" si="6"/>
        <v>-486.03399999999965</v>
      </c>
      <c r="N47" s="44"/>
      <c r="O47" s="44"/>
    </row>
    <row r="48" spans="1:15">
      <c r="A48" s="96" t="s">
        <v>158</v>
      </c>
      <c r="B48" s="99"/>
      <c r="C48" s="99"/>
      <c r="D48" s="99"/>
      <c r="E48" s="188">
        <f t="shared" si="1"/>
        <v>0</v>
      </c>
      <c r="F48" s="93">
        <f t="shared" si="0"/>
        <v>0</v>
      </c>
      <c r="G48" s="99"/>
      <c r="H48" s="20"/>
      <c r="I48" s="20"/>
      <c r="J48" s="96" t="s">
        <v>158</v>
      </c>
      <c r="K48" s="86"/>
      <c r="L48" s="44">
        <f t="shared" si="2"/>
        <v>4513.9660000000003</v>
      </c>
      <c r="M48" s="44">
        <f t="shared" si="6"/>
        <v>-486.03399999999965</v>
      </c>
      <c r="N48" s="86"/>
      <c r="O48" s="86"/>
    </row>
    <row r="49" spans="1:15">
      <c r="A49" s="157" t="s">
        <v>159</v>
      </c>
      <c r="B49" s="44">
        <v>8.9</v>
      </c>
      <c r="C49" s="44">
        <v>9.1</v>
      </c>
      <c r="D49" s="44">
        <v>2.8</v>
      </c>
      <c r="E49" s="188">
        <f t="shared" si="1"/>
        <v>94.25</v>
      </c>
      <c r="F49" s="93">
        <f t="shared" si="0"/>
        <v>263.89999999999998</v>
      </c>
      <c r="G49" s="44" t="s">
        <v>207</v>
      </c>
      <c r="J49" s="157" t="s">
        <v>159</v>
      </c>
      <c r="K49" s="44"/>
      <c r="L49" s="44">
        <f t="shared" si="2"/>
        <v>4777.866</v>
      </c>
      <c r="M49" s="44">
        <f t="shared" si="6"/>
        <v>-222.13399999999967</v>
      </c>
      <c r="N49" s="44"/>
      <c r="O49" s="44"/>
    </row>
    <row r="50" spans="1:15">
      <c r="A50" s="157" t="s">
        <v>159</v>
      </c>
      <c r="B50" s="44"/>
      <c r="C50" s="44"/>
      <c r="D50" s="44"/>
      <c r="E50" s="188">
        <f t="shared" si="1"/>
        <v>0</v>
      </c>
      <c r="F50" s="93">
        <f t="shared" si="0"/>
        <v>0</v>
      </c>
      <c r="G50" s="44"/>
      <c r="J50" s="157" t="s">
        <v>159</v>
      </c>
      <c r="K50" s="44"/>
      <c r="L50" s="44">
        <f t="shared" si="2"/>
        <v>4777.866</v>
      </c>
      <c r="M50" s="44">
        <f t="shared" si="6"/>
        <v>-222.13399999999967</v>
      </c>
      <c r="N50" s="44"/>
      <c r="O50" s="44"/>
    </row>
    <row r="51" spans="1:15">
      <c r="A51" s="157" t="s">
        <v>160</v>
      </c>
      <c r="B51" s="44">
        <v>7.5</v>
      </c>
      <c r="C51" s="44">
        <v>8.6</v>
      </c>
      <c r="D51" s="44">
        <v>2.4</v>
      </c>
      <c r="E51" s="188">
        <f t="shared" si="1"/>
        <v>83.15</v>
      </c>
      <c r="F51" s="93">
        <f t="shared" si="0"/>
        <v>199.56</v>
      </c>
      <c r="G51" s="44" t="s">
        <v>207</v>
      </c>
      <c r="J51" s="157" t="s">
        <v>160</v>
      </c>
      <c r="K51" s="44"/>
      <c r="L51" s="44">
        <f t="shared" si="2"/>
        <v>4977.4260000000004</v>
      </c>
      <c r="M51" s="44">
        <f t="shared" si="6"/>
        <v>-22.573999999999671</v>
      </c>
      <c r="N51" s="44"/>
      <c r="O51" s="44"/>
    </row>
    <row r="52" spans="1:15">
      <c r="A52" s="157" t="s">
        <v>160</v>
      </c>
      <c r="B52" s="44"/>
      <c r="C52" s="44"/>
      <c r="D52" s="44"/>
      <c r="E52" s="188">
        <f t="shared" si="1"/>
        <v>0</v>
      </c>
      <c r="F52" s="93">
        <f t="shared" si="0"/>
        <v>0</v>
      </c>
      <c r="G52" s="44"/>
      <c r="J52" s="157" t="s">
        <v>160</v>
      </c>
      <c r="K52" s="44"/>
      <c r="L52" s="44">
        <f t="shared" si="2"/>
        <v>4977.4260000000004</v>
      </c>
      <c r="M52" s="44">
        <f t="shared" si="6"/>
        <v>-22.573999999999671</v>
      </c>
      <c r="N52" s="44"/>
      <c r="O52" s="44"/>
    </row>
    <row r="53" spans="1:15">
      <c r="A53" s="157" t="s">
        <v>161</v>
      </c>
      <c r="B53" s="44">
        <v>5.3</v>
      </c>
      <c r="C53" s="44">
        <v>6.5</v>
      </c>
      <c r="D53" s="44">
        <v>2.4</v>
      </c>
      <c r="E53" s="188">
        <f t="shared" si="1"/>
        <v>60.449999999999996</v>
      </c>
      <c r="F53" s="93">
        <f t="shared" si="0"/>
        <v>145.07999999999998</v>
      </c>
      <c r="G53" s="44" t="s">
        <v>120</v>
      </c>
      <c r="J53" s="157" t="s">
        <v>161</v>
      </c>
      <c r="K53" s="44"/>
      <c r="L53" s="44">
        <f t="shared" si="2"/>
        <v>5122.5060000000003</v>
      </c>
      <c r="M53" s="44">
        <f t="shared" si="6"/>
        <v>122.50600000000031</v>
      </c>
      <c r="N53" s="44"/>
      <c r="O53" s="44"/>
    </row>
    <row r="54" spans="1:15">
      <c r="A54" s="157" t="s">
        <v>161</v>
      </c>
      <c r="B54" s="44">
        <v>8.6</v>
      </c>
      <c r="C54" s="44">
        <v>9.4</v>
      </c>
      <c r="D54" s="44">
        <v>2.6</v>
      </c>
      <c r="E54" s="188">
        <f t="shared" si="1"/>
        <v>93.5</v>
      </c>
      <c r="F54" s="93">
        <f t="shared" si="0"/>
        <v>243.1</v>
      </c>
      <c r="G54" s="44" t="s">
        <v>207</v>
      </c>
      <c r="J54" s="157" t="s">
        <v>161</v>
      </c>
      <c r="K54" s="44"/>
      <c r="L54" s="44">
        <f t="shared" si="2"/>
        <v>5365.6060000000007</v>
      </c>
      <c r="M54" s="44">
        <f t="shared" si="6"/>
        <v>365.60600000000034</v>
      </c>
      <c r="N54" s="44"/>
      <c r="O54" s="44"/>
    </row>
    <row r="55" spans="1:15">
      <c r="A55" s="157" t="s">
        <v>162</v>
      </c>
      <c r="B55" s="44">
        <v>8.6</v>
      </c>
      <c r="C55" s="44">
        <v>9.1</v>
      </c>
      <c r="D55" s="44">
        <v>2.2000000000000002</v>
      </c>
      <c r="E55" s="188">
        <f t="shared" si="1"/>
        <v>92.3</v>
      </c>
      <c r="F55" s="93">
        <f t="shared" si="0"/>
        <v>203.06</v>
      </c>
      <c r="G55" s="44"/>
      <c r="J55" s="157" t="s">
        <v>162</v>
      </c>
      <c r="K55" s="44"/>
      <c r="L55" s="44">
        <f t="shared" si="2"/>
        <v>5568.6660000000011</v>
      </c>
      <c r="M55" s="44">
        <f t="shared" si="6"/>
        <v>568.66600000000039</v>
      </c>
      <c r="N55" s="44"/>
      <c r="O55" s="44"/>
    </row>
    <row r="56" spans="1:15">
      <c r="A56" s="157" t="s">
        <v>162</v>
      </c>
      <c r="B56" s="44">
        <v>6.8</v>
      </c>
      <c r="C56" s="44">
        <v>9.4</v>
      </c>
      <c r="D56" s="44">
        <v>2.1</v>
      </c>
      <c r="E56" s="188">
        <f t="shared" si="1"/>
        <v>81.8</v>
      </c>
      <c r="F56" s="93">
        <f t="shared" si="0"/>
        <v>171.78</v>
      </c>
      <c r="G56" s="44" t="s">
        <v>120</v>
      </c>
      <c r="J56" s="157" t="s">
        <v>162</v>
      </c>
      <c r="K56" s="44"/>
      <c r="L56" s="44">
        <f t="shared" si="2"/>
        <v>5740.4460000000008</v>
      </c>
      <c r="M56" s="44">
        <f t="shared" si="6"/>
        <v>740.44600000000037</v>
      </c>
      <c r="N56" s="44"/>
      <c r="O56" s="44"/>
    </row>
    <row r="57" spans="1:15">
      <c r="A57" s="157" t="s">
        <v>163</v>
      </c>
      <c r="B57" s="44">
        <v>9.1999999999999993</v>
      </c>
      <c r="C57" s="44">
        <v>9.3000000000000007</v>
      </c>
      <c r="D57" s="44">
        <v>2.2999999999999998</v>
      </c>
      <c r="E57" s="188">
        <f t="shared" si="1"/>
        <v>97</v>
      </c>
      <c r="F57" s="93">
        <f t="shared" si="0"/>
        <v>223.1</v>
      </c>
      <c r="G57" s="44"/>
      <c r="J57" s="157" t="s">
        <v>163</v>
      </c>
      <c r="K57" s="44"/>
      <c r="L57" s="44">
        <f t="shared" si="2"/>
        <v>5963.5460000000012</v>
      </c>
      <c r="M57" s="44">
        <f t="shared" si="6"/>
        <v>963.54600000000039</v>
      </c>
      <c r="N57" s="44"/>
      <c r="O57" s="44"/>
    </row>
    <row r="58" spans="1:15">
      <c r="A58" s="157" t="s">
        <v>163</v>
      </c>
      <c r="B58" s="44">
        <v>7.4</v>
      </c>
      <c r="C58" s="44">
        <v>9.4</v>
      </c>
      <c r="D58" s="44">
        <v>2.1</v>
      </c>
      <c r="E58" s="188">
        <f t="shared" si="1"/>
        <v>85.7</v>
      </c>
      <c r="F58" s="93">
        <f t="shared" si="0"/>
        <v>179.97000000000003</v>
      </c>
      <c r="G58" s="44"/>
      <c r="J58" s="157" t="s">
        <v>163</v>
      </c>
      <c r="K58" s="44"/>
      <c r="L58" s="44">
        <f t="shared" si="2"/>
        <v>6143.5160000000014</v>
      </c>
      <c r="M58" s="44">
        <f t="shared" si="6"/>
        <v>1143.5160000000005</v>
      </c>
      <c r="N58" s="44"/>
      <c r="O58" s="44"/>
    </row>
    <row r="59" spans="1:15">
      <c r="A59" s="157" t="s">
        <v>164</v>
      </c>
      <c r="B59" s="44">
        <v>6</v>
      </c>
      <c r="C59" s="44">
        <v>6.4</v>
      </c>
      <c r="D59" s="44">
        <v>2</v>
      </c>
      <c r="E59" s="188">
        <f t="shared" si="1"/>
        <v>64.599999999999994</v>
      </c>
      <c r="F59" s="93">
        <f t="shared" si="0"/>
        <v>129.19999999999999</v>
      </c>
      <c r="G59" s="44" t="s">
        <v>120</v>
      </c>
      <c r="J59" s="157" t="s">
        <v>164</v>
      </c>
      <c r="K59" s="44"/>
      <c r="L59" s="44">
        <f t="shared" si="2"/>
        <v>6272.7160000000013</v>
      </c>
      <c r="M59" s="44">
        <f t="shared" si="6"/>
        <v>1272.7160000000006</v>
      </c>
      <c r="N59" s="44"/>
      <c r="O59" s="44"/>
    </row>
    <row r="60" spans="1:15">
      <c r="A60" s="157" t="s">
        <v>164</v>
      </c>
      <c r="B60" s="44"/>
      <c r="C60" s="44"/>
      <c r="D60" s="44"/>
      <c r="E60" s="188">
        <f t="shared" si="1"/>
        <v>0</v>
      </c>
      <c r="F60" s="93">
        <f t="shared" si="0"/>
        <v>0</v>
      </c>
      <c r="G60" s="44"/>
      <c r="J60" s="157" t="s">
        <v>164</v>
      </c>
      <c r="K60" s="44"/>
      <c r="L60" s="44">
        <f t="shared" si="2"/>
        <v>6272.7160000000013</v>
      </c>
      <c r="M60" s="44">
        <f t="shared" si="6"/>
        <v>1272.7160000000006</v>
      </c>
      <c r="N60" s="44"/>
      <c r="O60" s="44"/>
    </row>
    <row r="61" spans="1:15">
      <c r="A61" s="157" t="s">
        <v>165</v>
      </c>
      <c r="B61" s="44">
        <v>7.6</v>
      </c>
      <c r="C61" s="44">
        <v>9.1999999999999993</v>
      </c>
      <c r="D61" s="44">
        <v>2.4</v>
      </c>
      <c r="E61" s="188">
        <f t="shared" si="1"/>
        <v>86.199999999999989</v>
      </c>
      <c r="F61" s="93">
        <f t="shared" si="0"/>
        <v>206.87999999999997</v>
      </c>
      <c r="G61" s="44" t="s">
        <v>120</v>
      </c>
      <c r="J61" s="157" t="s">
        <v>165</v>
      </c>
      <c r="K61" s="44"/>
      <c r="L61" s="44">
        <f t="shared" si="2"/>
        <v>6479.5960000000014</v>
      </c>
      <c r="M61" s="44">
        <f t="shared" si="6"/>
        <v>1479.5960000000005</v>
      </c>
      <c r="N61" s="44"/>
      <c r="O61" s="44"/>
    </row>
    <row r="62" spans="1:15">
      <c r="A62" s="157" t="s">
        <v>165</v>
      </c>
      <c r="B62" s="44"/>
      <c r="C62" s="44"/>
      <c r="D62" s="44"/>
      <c r="E62" s="188">
        <f t="shared" si="1"/>
        <v>0</v>
      </c>
      <c r="F62" s="93">
        <f t="shared" si="0"/>
        <v>0</v>
      </c>
      <c r="G62" s="44"/>
      <c r="J62" s="157" t="s">
        <v>165</v>
      </c>
      <c r="K62" s="44"/>
      <c r="L62" s="44"/>
      <c r="M62" s="44"/>
      <c r="N62" s="44"/>
      <c r="O62" s="44"/>
    </row>
    <row r="63" spans="1:15">
      <c r="A63" s="157" t="s">
        <v>166</v>
      </c>
      <c r="B63" s="44"/>
      <c r="C63" s="44"/>
      <c r="D63" s="44"/>
      <c r="E63" s="188">
        <f t="shared" si="1"/>
        <v>0</v>
      </c>
      <c r="F63" s="93">
        <f t="shared" si="0"/>
        <v>0</v>
      </c>
      <c r="G63" s="44"/>
      <c r="J63" s="157" t="s">
        <v>166</v>
      </c>
      <c r="K63" s="44"/>
      <c r="L63" s="44"/>
      <c r="M63" s="44"/>
      <c r="N63" s="44"/>
      <c r="O63" s="44"/>
    </row>
    <row r="64" spans="1:15">
      <c r="A64" s="157" t="s">
        <v>166</v>
      </c>
      <c r="B64" s="44"/>
      <c r="C64" s="44"/>
      <c r="D64" s="44"/>
      <c r="E64" s="188">
        <f t="shared" si="1"/>
        <v>0</v>
      </c>
      <c r="F64" s="93">
        <f t="shared" si="0"/>
        <v>0</v>
      </c>
      <c r="G64" s="44"/>
      <c r="J64" s="157" t="s">
        <v>166</v>
      </c>
      <c r="K64" s="44"/>
      <c r="L64" s="44"/>
      <c r="M64" s="44"/>
      <c r="N64" s="44"/>
      <c r="O64" s="44"/>
    </row>
    <row r="65" spans="1:15">
      <c r="A65" s="157" t="s">
        <v>167</v>
      </c>
      <c r="B65" s="44"/>
      <c r="C65" s="44"/>
      <c r="D65" s="44"/>
      <c r="E65" s="44"/>
      <c r="F65" s="44"/>
      <c r="G65" s="44"/>
      <c r="J65" s="157" t="s">
        <v>167</v>
      </c>
      <c r="K65" s="44"/>
      <c r="L65" s="44"/>
      <c r="M65" s="44"/>
      <c r="N65" s="44"/>
      <c r="O65" s="44"/>
    </row>
    <row r="66" spans="1:15">
      <c r="A66" s="157" t="s">
        <v>167</v>
      </c>
      <c r="B66" s="44"/>
      <c r="C66" s="44"/>
      <c r="D66" s="44"/>
      <c r="E66" s="44"/>
      <c r="F66" s="44"/>
      <c r="G66" s="44"/>
      <c r="J66" s="157" t="s">
        <v>167</v>
      </c>
      <c r="K66" s="44"/>
      <c r="L66" s="44"/>
      <c r="M66" s="44"/>
      <c r="N66" s="44"/>
      <c r="O66" s="44"/>
    </row>
    <row r="67" spans="1:15">
      <c r="A67" s="157" t="s">
        <v>168</v>
      </c>
      <c r="B67" s="44"/>
      <c r="C67" s="44"/>
      <c r="D67" s="44"/>
      <c r="E67" s="44"/>
      <c r="F67" s="44"/>
      <c r="G67" s="44"/>
      <c r="J67" s="157" t="s">
        <v>168</v>
      </c>
      <c r="K67" s="44"/>
      <c r="L67" s="44"/>
      <c r="M67" s="44"/>
      <c r="N67" s="44"/>
      <c r="O67" s="44"/>
    </row>
    <row r="68" spans="1:15">
      <c r="A68" s="157" t="s">
        <v>225</v>
      </c>
      <c r="B68" s="44"/>
      <c r="C68" s="44"/>
      <c r="D68" s="44"/>
      <c r="E68" s="44"/>
      <c r="F68" s="44"/>
      <c r="G68" s="44"/>
      <c r="J68" s="157" t="s">
        <v>225</v>
      </c>
      <c r="K68" s="44"/>
      <c r="L68" s="44"/>
      <c r="M68" s="44"/>
      <c r="N68" s="44"/>
      <c r="O68" s="44"/>
    </row>
    <row r="69" spans="1:15">
      <c r="A69" s="157" t="s">
        <v>226</v>
      </c>
      <c r="B69" s="44"/>
      <c r="C69" s="44"/>
      <c r="D69" s="44"/>
      <c r="E69" s="44"/>
      <c r="F69" s="44"/>
      <c r="G69" s="44"/>
      <c r="J69" s="157" t="s">
        <v>226</v>
      </c>
      <c r="K69" s="44"/>
      <c r="L69" s="44"/>
      <c r="M69" s="44"/>
      <c r="N69" s="44"/>
      <c r="O69" s="44"/>
    </row>
  </sheetData>
  <mergeCells count="1">
    <mergeCell ref="B2:G2"/>
  </mergeCells>
  <hyperlinks>
    <hyperlink ref="F5" location="'Customer Index'!A8" display="Customer Code"/>
    <hyperlink ref="G5" location="'Customer Index'!A22" display="Bas15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234</v>
      </c>
      <c r="B3" s="51"/>
      <c r="C3" s="51"/>
      <c r="F3" s="52" t="s">
        <v>106</v>
      </c>
      <c r="G3" s="53">
        <v>9702350715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55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48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2471.2905000000005</v>
      </c>
      <c r="R8" s="44">
        <f>SUM(K8:K48)</f>
        <v>1500</v>
      </c>
      <c r="S8" s="44">
        <f>(Q8-R8)</f>
        <v>971.29050000000052</v>
      </c>
      <c r="T8" s="44">
        <f>SUM(D8:D47)</f>
        <v>32.700000000000003</v>
      </c>
      <c r="U8" s="44"/>
    </row>
    <row r="9" spans="1:21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0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5">(M25+F26-K26)</f>
        <v>0</v>
      </c>
      <c r="N26" s="44"/>
      <c r="O26" s="44"/>
    </row>
    <row r="27" spans="1:21">
      <c r="A27" s="96" t="s">
        <v>141</v>
      </c>
      <c r="B27" s="93">
        <v>6.13</v>
      </c>
      <c r="C27" s="93">
        <v>8.75</v>
      </c>
      <c r="D27" s="93">
        <v>1.9</v>
      </c>
      <c r="E27" s="24">
        <f t="shared" si="1"/>
        <v>74.844999999999999</v>
      </c>
      <c r="F27" s="93">
        <f t="shared" si="0"/>
        <v>142.2055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142.2055</v>
      </c>
      <c r="M27" s="44">
        <f t="shared" ref="M27:M39" si="6">(M26+F27-K27)</f>
        <v>142.2055</v>
      </c>
      <c r="N27" s="44"/>
      <c r="O27" s="44"/>
    </row>
    <row r="28" spans="1:21">
      <c r="A28" s="96" t="s">
        <v>142</v>
      </c>
      <c r="B28" s="93">
        <v>6.65</v>
      </c>
      <c r="C28" s="93">
        <v>8.26</v>
      </c>
      <c r="D28" s="93">
        <v>2</v>
      </c>
      <c r="E28" s="24">
        <f t="shared" si="1"/>
        <v>76.265000000000001</v>
      </c>
      <c r="F28" s="93">
        <f t="shared" si="0"/>
        <v>152.53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294.7355</v>
      </c>
      <c r="M28" s="44">
        <f t="shared" si="6"/>
        <v>294.7355</v>
      </c>
      <c r="N28" s="44"/>
      <c r="O28" s="44"/>
    </row>
    <row r="29" spans="1:21">
      <c r="A29" s="96" t="s">
        <v>143</v>
      </c>
      <c r="B29" s="93">
        <v>5.96</v>
      </c>
      <c r="C29" s="93">
        <v>7.89</v>
      </c>
      <c r="D29" s="93">
        <v>1.8</v>
      </c>
      <c r="E29" s="24">
        <f t="shared" si="1"/>
        <v>70.3</v>
      </c>
      <c r="F29" s="93">
        <f t="shared" si="0"/>
        <v>126.53999999999999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421.27549999999997</v>
      </c>
      <c r="M29" s="44">
        <f t="shared" si="6"/>
        <v>421.27549999999997</v>
      </c>
      <c r="N29" s="44"/>
      <c r="O29" s="44"/>
    </row>
    <row r="30" spans="1:21">
      <c r="A30" s="96" t="s">
        <v>144</v>
      </c>
      <c r="B30" s="93">
        <v>6.17</v>
      </c>
      <c r="C30" s="93">
        <v>8.9</v>
      </c>
      <c r="D30" s="93">
        <v>2</v>
      </c>
      <c r="E30" s="24">
        <f t="shared" si="1"/>
        <v>75.704999999999998</v>
      </c>
      <c r="F30" s="93">
        <f t="shared" si="0"/>
        <v>151.41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572.68549999999993</v>
      </c>
      <c r="M30" s="44">
        <f t="shared" si="6"/>
        <v>572.68549999999993</v>
      </c>
      <c r="N30" s="44"/>
      <c r="O30" s="44"/>
    </row>
    <row r="31" spans="1:21">
      <c r="A31" s="96" t="s">
        <v>145</v>
      </c>
      <c r="B31" s="93">
        <v>6.6</v>
      </c>
      <c r="C31" s="93">
        <v>9.4</v>
      </c>
      <c r="D31" s="93">
        <v>1.7</v>
      </c>
      <c r="E31" s="24">
        <f t="shared" si="1"/>
        <v>80.5</v>
      </c>
      <c r="F31" s="93">
        <f t="shared" si="0"/>
        <v>136.85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709.53549999999996</v>
      </c>
      <c r="M31" s="44">
        <f t="shared" si="6"/>
        <v>709.53549999999996</v>
      </c>
      <c r="N31" s="44"/>
      <c r="O31" s="44"/>
    </row>
    <row r="32" spans="1:21">
      <c r="A32" s="96" t="s">
        <v>146</v>
      </c>
      <c r="B32" s="93">
        <v>6.1</v>
      </c>
      <c r="C32" s="93">
        <v>8.81</v>
      </c>
      <c r="D32" s="93">
        <v>1.3</v>
      </c>
      <c r="E32" s="24">
        <f t="shared" si="1"/>
        <v>74.89</v>
      </c>
      <c r="F32" s="93">
        <f t="shared" si="0"/>
        <v>97.356999999999999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806.89249999999993</v>
      </c>
      <c r="M32" s="44">
        <f t="shared" si="6"/>
        <v>806.89249999999993</v>
      </c>
      <c r="N32" s="44"/>
      <c r="O32" s="44"/>
    </row>
    <row r="33" spans="1:15">
      <c r="A33" s="96" t="s">
        <v>147</v>
      </c>
      <c r="B33" s="93">
        <v>6.1</v>
      </c>
      <c r="C33" s="93">
        <v>8.81</v>
      </c>
      <c r="D33" s="93">
        <v>1.8</v>
      </c>
      <c r="E33" s="24">
        <f t="shared" si="1"/>
        <v>74.89</v>
      </c>
      <c r="F33" s="93">
        <f t="shared" si="0"/>
        <v>134.80199999999999</v>
      </c>
      <c r="G33" s="93" t="s">
        <v>120</v>
      </c>
      <c r="H33" s="20"/>
      <c r="I33" s="20"/>
      <c r="J33" s="62" t="s">
        <v>147</v>
      </c>
      <c r="K33" s="44"/>
      <c r="L33" s="44">
        <f t="shared" si="2"/>
        <v>941.69449999999995</v>
      </c>
      <c r="M33" s="44">
        <f t="shared" si="6"/>
        <v>941.69449999999995</v>
      </c>
      <c r="N33" s="44"/>
      <c r="O33" s="44"/>
    </row>
    <row r="34" spans="1:15">
      <c r="A34" s="96" t="s">
        <v>148</v>
      </c>
      <c r="B34" s="93">
        <v>6.18</v>
      </c>
      <c r="C34" s="93">
        <v>8.75</v>
      </c>
      <c r="D34" s="93">
        <v>1.6</v>
      </c>
      <c r="E34" s="24">
        <f t="shared" si="1"/>
        <v>75.17</v>
      </c>
      <c r="F34" s="93">
        <f t="shared" si="0"/>
        <v>120.27200000000001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1061.9665</v>
      </c>
      <c r="M34" s="44">
        <f t="shared" si="6"/>
        <v>1061.9665</v>
      </c>
      <c r="N34" s="44"/>
      <c r="O34" s="44"/>
    </row>
    <row r="35" spans="1:15">
      <c r="A35" s="96" t="s">
        <v>149</v>
      </c>
      <c r="B35" s="93">
        <v>5.88</v>
      </c>
      <c r="C35" s="93">
        <v>8.86</v>
      </c>
      <c r="D35" s="93">
        <v>1.5</v>
      </c>
      <c r="E35" s="24">
        <f t="shared" si="1"/>
        <v>73.66</v>
      </c>
      <c r="F35" s="93">
        <f t="shared" si="0"/>
        <v>110.49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1172.4565</v>
      </c>
      <c r="M35" s="44">
        <f t="shared" si="6"/>
        <v>1172.4565</v>
      </c>
      <c r="N35" s="44"/>
      <c r="O35" s="44"/>
    </row>
    <row r="36" spans="1:15">
      <c r="A36" s="96" t="s">
        <v>150</v>
      </c>
      <c r="B36" s="93">
        <v>6.27</v>
      </c>
      <c r="C36" s="93">
        <v>8.9700000000000006</v>
      </c>
      <c r="D36" s="93">
        <v>1.4</v>
      </c>
      <c r="E36" s="24">
        <f t="shared" si="1"/>
        <v>76.634999999999991</v>
      </c>
      <c r="F36" s="93">
        <f t="shared" si="0"/>
        <v>107.28899999999999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1279.7455</v>
      </c>
      <c r="M36" s="44">
        <f t="shared" si="6"/>
        <v>1279.7455</v>
      </c>
      <c r="N36" s="44"/>
      <c r="O36" s="44"/>
    </row>
    <row r="37" spans="1:15">
      <c r="A37" s="96" t="s">
        <v>151</v>
      </c>
      <c r="B37" s="93">
        <v>6.3</v>
      </c>
      <c r="C37" s="93">
        <v>8.9</v>
      </c>
      <c r="D37" s="93">
        <v>1.5</v>
      </c>
      <c r="E37" s="24">
        <f t="shared" si="1"/>
        <v>76.55</v>
      </c>
      <c r="F37" s="93">
        <f t="shared" si="0"/>
        <v>114.82499999999999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1394.5705</v>
      </c>
      <c r="M37" s="44">
        <f t="shared" si="6"/>
        <v>1394.5705</v>
      </c>
      <c r="N37" s="44"/>
      <c r="O37" s="44"/>
    </row>
    <row r="38" spans="1:15">
      <c r="A38" s="96" t="s">
        <v>152</v>
      </c>
      <c r="B38" s="93">
        <v>5.0999999999999996</v>
      </c>
      <c r="C38" s="93">
        <v>9.1999999999999993</v>
      </c>
      <c r="D38" s="93">
        <v>1.6</v>
      </c>
      <c r="E38" s="24">
        <f t="shared" si="1"/>
        <v>69.949999999999989</v>
      </c>
      <c r="F38" s="93">
        <f t="shared" si="0"/>
        <v>111.91999999999999</v>
      </c>
      <c r="G38" s="93" t="s">
        <v>120</v>
      </c>
      <c r="H38" s="20"/>
      <c r="I38" s="20"/>
      <c r="J38" s="62" t="s">
        <v>152</v>
      </c>
      <c r="K38" s="44">
        <v>1500</v>
      </c>
      <c r="L38" s="44">
        <f t="shared" si="2"/>
        <v>1506.4905000000001</v>
      </c>
      <c r="M38" s="44">
        <f t="shared" si="6"/>
        <v>6.490500000000111</v>
      </c>
      <c r="N38" s="44"/>
      <c r="O38" s="44"/>
    </row>
    <row r="39" spans="1:15">
      <c r="A39" s="96" t="s">
        <v>153</v>
      </c>
      <c r="B39" s="93">
        <v>5.8</v>
      </c>
      <c r="C39" s="93">
        <v>8.9</v>
      </c>
      <c r="D39" s="93">
        <v>1.6</v>
      </c>
      <c r="E39" s="93">
        <f t="shared" si="1"/>
        <v>73.3</v>
      </c>
      <c r="F39" s="93">
        <f t="shared" si="0"/>
        <v>117.28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1623.7705000000001</v>
      </c>
      <c r="M39" s="44">
        <f t="shared" si="6"/>
        <v>123.77050000000011</v>
      </c>
      <c r="N39" s="44"/>
      <c r="O39" s="44"/>
    </row>
    <row r="40" spans="1:15">
      <c r="A40" s="96" t="s">
        <v>154</v>
      </c>
      <c r="B40" s="93">
        <v>6.1</v>
      </c>
      <c r="C40" s="93">
        <v>8.9</v>
      </c>
      <c r="D40" s="93">
        <v>1.3</v>
      </c>
      <c r="E40" s="24">
        <f t="shared" si="1"/>
        <v>75.25</v>
      </c>
      <c r="F40" s="93">
        <f t="shared" si="0"/>
        <v>97.825000000000003</v>
      </c>
      <c r="G40" s="93" t="s">
        <v>120</v>
      </c>
      <c r="H40" s="20"/>
      <c r="I40" s="20"/>
      <c r="J40" s="62" t="s">
        <v>154</v>
      </c>
      <c r="K40" s="44"/>
      <c r="L40" s="44">
        <f t="shared" si="2"/>
        <v>1721.5955000000001</v>
      </c>
      <c r="M40" s="44">
        <f>(M39+F40-K40)</f>
        <v>221.59550000000013</v>
      </c>
      <c r="N40" s="44"/>
      <c r="O40" s="44"/>
    </row>
    <row r="41" spans="1:15">
      <c r="A41" s="96" t="s">
        <v>156</v>
      </c>
      <c r="B41" s="93">
        <v>6</v>
      </c>
      <c r="C41" s="93">
        <v>8.8000000000000007</v>
      </c>
      <c r="D41" s="93">
        <v>1.4</v>
      </c>
      <c r="E41" s="24">
        <f t="shared" si="1"/>
        <v>74.2</v>
      </c>
      <c r="F41" s="93">
        <f t="shared" si="0"/>
        <v>103.88</v>
      </c>
      <c r="G41" s="93" t="s">
        <v>120</v>
      </c>
      <c r="H41" s="20"/>
      <c r="I41" s="20"/>
      <c r="J41" s="62" t="s">
        <v>156</v>
      </c>
      <c r="K41" s="155"/>
      <c r="L41" s="44">
        <f t="shared" si="2"/>
        <v>1825.4755</v>
      </c>
      <c r="M41" s="44">
        <f t="shared" ref="M41:M53" si="7">(M40+F41-K41)</f>
        <v>325.47550000000012</v>
      </c>
      <c r="N41" s="44"/>
      <c r="O41" s="44"/>
    </row>
    <row r="42" spans="1:15">
      <c r="A42" s="96" t="s">
        <v>157</v>
      </c>
      <c r="B42" s="93">
        <v>6.1</v>
      </c>
      <c r="C42" s="93">
        <v>8.9</v>
      </c>
      <c r="D42" s="93">
        <v>1.3</v>
      </c>
      <c r="E42" s="24">
        <f t="shared" si="1"/>
        <v>75.25</v>
      </c>
      <c r="F42" s="93">
        <f t="shared" si="0"/>
        <v>97.825000000000003</v>
      </c>
      <c r="G42" s="93" t="s">
        <v>120</v>
      </c>
      <c r="H42" s="20"/>
      <c r="I42" s="20"/>
      <c r="J42" s="62" t="s">
        <v>157</v>
      </c>
      <c r="K42" s="155"/>
      <c r="L42" s="44">
        <f t="shared" si="2"/>
        <v>1923.3005000000001</v>
      </c>
      <c r="M42" s="44">
        <f t="shared" si="7"/>
        <v>423.30050000000011</v>
      </c>
      <c r="N42" s="44"/>
      <c r="O42" s="44"/>
    </row>
    <row r="43" spans="1:15">
      <c r="A43" s="96" t="s">
        <v>158</v>
      </c>
      <c r="B43" s="93">
        <v>5.7</v>
      </c>
      <c r="C43" s="93">
        <v>7.8</v>
      </c>
      <c r="D43" s="93">
        <v>1.4</v>
      </c>
      <c r="E43" s="24">
        <f t="shared" si="1"/>
        <v>68.25</v>
      </c>
      <c r="F43" s="93">
        <f t="shared" si="0"/>
        <v>95.55</v>
      </c>
      <c r="G43" s="93" t="s">
        <v>120</v>
      </c>
      <c r="H43" s="20"/>
      <c r="I43" s="20"/>
      <c r="J43" s="62" t="s">
        <v>158</v>
      </c>
      <c r="K43" s="44"/>
      <c r="L43" s="44">
        <f t="shared" si="2"/>
        <v>2018.8505</v>
      </c>
      <c r="M43" s="44">
        <f t="shared" si="7"/>
        <v>518.85050000000012</v>
      </c>
      <c r="N43" s="44"/>
      <c r="O43" s="44"/>
    </row>
    <row r="44" spans="1:15">
      <c r="A44" s="96" t="s">
        <v>159</v>
      </c>
      <c r="B44" s="93">
        <v>6</v>
      </c>
      <c r="C44" s="93">
        <v>8.9</v>
      </c>
      <c r="D44" s="93">
        <v>1.5</v>
      </c>
      <c r="E44" s="24">
        <f t="shared" si="1"/>
        <v>74.599999999999994</v>
      </c>
      <c r="F44" s="93">
        <f t="shared" si="0"/>
        <v>111.89999999999999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2130.7505000000001</v>
      </c>
      <c r="M44" s="44">
        <f t="shared" si="7"/>
        <v>630.7505000000001</v>
      </c>
      <c r="N44" s="44"/>
      <c r="O44" s="44"/>
    </row>
    <row r="45" spans="1:15">
      <c r="A45" s="96" t="s">
        <v>160</v>
      </c>
      <c r="B45" s="93">
        <v>4.9000000000000004</v>
      </c>
      <c r="C45" s="93">
        <v>4.0999999999999996</v>
      </c>
      <c r="D45" s="93">
        <v>3</v>
      </c>
      <c r="E45" s="24">
        <f t="shared" si="1"/>
        <v>48.25</v>
      </c>
      <c r="F45" s="93">
        <f t="shared" si="0"/>
        <v>144.75</v>
      </c>
      <c r="G45" s="93" t="s">
        <v>120</v>
      </c>
      <c r="H45" s="20"/>
      <c r="I45" s="20"/>
      <c r="J45" s="62" t="s">
        <v>160</v>
      </c>
      <c r="K45" s="44"/>
      <c r="L45" s="44">
        <f t="shared" si="2"/>
        <v>2275.5005000000001</v>
      </c>
      <c r="M45" s="44">
        <f t="shared" si="7"/>
        <v>775.5005000000001</v>
      </c>
      <c r="N45" s="44"/>
      <c r="O45" s="44"/>
    </row>
    <row r="46" spans="1:15">
      <c r="A46" s="66" t="s">
        <v>161</v>
      </c>
      <c r="B46" s="68"/>
      <c r="C46" s="68"/>
      <c r="D46" s="68"/>
      <c r="E46" s="24">
        <f t="shared" si="1"/>
        <v>0</v>
      </c>
      <c r="F46" s="93">
        <f t="shared" si="0"/>
        <v>0</v>
      </c>
      <c r="G46" s="93" t="s">
        <v>155</v>
      </c>
      <c r="H46" s="20"/>
      <c r="I46" s="20"/>
      <c r="J46" s="62" t="s">
        <v>161</v>
      </c>
      <c r="K46" s="44"/>
      <c r="L46" s="44">
        <f t="shared" si="2"/>
        <v>2275.5005000000001</v>
      </c>
      <c r="M46" s="44">
        <f t="shared" si="7"/>
        <v>775.5005000000001</v>
      </c>
      <c r="N46" s="44"/>
      <c r="O46" s="44"/>
    </row>
    <row r="47" spans="1:15">
      <c r="A47" s="96" t="s">
        <v>162</v>
      </c>
      <c r="B47" s="99">
        <v>6.4</v>
      </c>
      <c r="C47" s="99">
        <v>9</v>
      </c>
      <c r="D47" s="99">
        <v>1.1000000000000001</v>
      </c>
      <c r="E47" s="24">
        <f t="shared" si="1"/>
        <v>77.599999999999994</v>
      </c>
      <c r="F47" s="93">
        <f t="shared" si="0"/>
        <v>85.36</v>
      </c>
      <c r="G47" s="93" t="s">
        <v>120</v>
      </c>
      <c r="H47" s="20"/>
      <c r="I47" s="20"/>
      <c r="J47" s="79" t="s">
        <v>162</v>
      </c>
      <c r="K47" s="86"/>
      <c r="L47" s="44">
        <f t="shared" si="2"/>
        <v>2360.8605000000002</v>
      </c>
      <c r="M47" s="44">
        <f t="shared" si="7"/>
        <v>860.86050000000012</v>
      </c>
      <c r="N47" s="86"/>
      <c r="O47" s="86"/>
    </row>
    <row r="48" spans="1:15">
      <c r="A48" s="158" t="s">
        <v>163</v>
      </c>
      <c r="B48" s="159"/>
      <c r="C48" s="159"/>
      <c r="D48" s="159"/>
      <c r="E48" s="68">
        <f t="shared" si="1"/>
        <v>0</v>
      </c>
      <c r="F48" s="68">
        <f t="shared" si="0"/>
        <v>0</v>
      </c>
      <c r="G48" s="93" t="s">
        <v>155</v>
      </c>
      <c r="J48" s="79" t="s">
        <v>163</v>
      </c>
      <c r="K48" s="44"/>
      <c r="L48" s="44">
        <f t="shared" si="2"/>
        <v>2360.8605000000002</v>
      </c>
      <c r="M48" s="44">
        <f t="shared" si="7"/>
        <v>860.86050000000012</v>
      </c>
      <c r="N48" s="44"/>
      <c r="O48" s="44"/>
    </row>
    <row r="49" spans="1:15">
      <c r="A49" s="157" t="s">
        <v>164</v>
      </c>
      <c r="B49" s="44">
        <v>5.7</v>
      </c>
      <c r="C49" s="44">
        <v>7.7</v>
      </c>
      <c r="D49" s="44">
        <v>0.8</v>
      </c>
      <c r="E49" s="24">
        <f t="shared" si="1"/>
        <v>67.850000000000009</v>
      </c>
      <c r="G49" s="93" t="s">
        <v>120</v>
      </c>
      <c r="J49" s="79" t="s">
        <v>164</v>
      </c>
      <c r="K49" s="44"/>
      <c r="L49" s="44">
        <f t="shared" si="2"/>
        <v>2360.8605000000002</v>
      </c>
      <c r="M49" s="44">
        <f t="shared" si="7"/>
        <v>860.86050000000012</v>
      </c>
      <c r="N49" s="44"/>
      <c r="O49" s="44"/>
    </row>
    <row r="50" spans="1:15">
      <c r="A50" s="158" t="s">
        <v>165</v>
      </c>
      <c r="B50" s="159"/>
      <c r="C50" s="159"/>
      <c r="D50" s="159"/>
      <c r="E50" s="68">
        <f t="shared" si="1"/>
        <v>0</v>
      </c>
      <c r="F50" s="68">
        <f>(B50*6.5+C50*4)*D50</f>
        <v>0</v>
      </c>
      <c r="G50" s="68" t="s">
        <v>155</v>
      </c>
      <c r="J50" s="79" t="s">
        <v>165</v>
      </c>
      <c r="K50" s="44"/>
      <c r="L50" s="44">
        <f t="shared" si="2"/>
        <v>2360.8605000000002</v>
      </c>
      <c r="M50" s="44">
        <f t="shared" si="7"/>
        <v>860.86050000000012</v>
      </c>
      <c r="N50" s="44"/>
      <c r="O50" s="44"/>
    </row>
    <row r="51" spans="1:15">
      <c r="A51" s="157" t="s">
        <v>166</v>
      </c>
      <c r="B51" s="44">
        <v>4.7</v>
      </c>
      <c r="C51" s="44">
        <v>6.4</v>
      </c>
      <c r="D51" s="44">
        <v>1</v>
      </c>
      <c r="E51" s="24">
        <f t="shared" si="1"/>
        <v>56.150000000000006</v>
      </c>
      <c r="F51" s="93">
        <f t="shared" ref="F51:F53" si="8">(B49*6.5+C49*4)*D49</f>
        <v>54.280000000000008</v>
      </c>
      <c r="G51" s="93" t="s">
        <v>120</v>
      </c>
      <c r="J51" s="79" t="s">
        <v>166</v>
      </c>
      <c r="K51" s="44"/>
      <c r="L51" s="44">
        <f>(L50+F51)</f>
        <v>2415.1405000000004</v>
      </c>
      <c r="M51" s="44">
        <f t="shared" si="7"/>
        <v>915.14050000000009</v>
      </c>
      <c r="N51" s="44"/>
      <c r="O51" s="44"/>
    </row>
    <row r="52" spans="1:15">
      <c r="A52" s="157" t="s">
        <v>167</v>
      </c>
      <c r="B52" s="44">
        <v>4.5999999999999996</v>
      </c>
      <c r="C52" s="44">
        <v>6.5</v>
      </c>
      <c r="D52" s="44">
        <v>0.8</v>
      </c>
      <c r="E52" s="24">
        <f t="shared" si="1"/>
        <v>55.9</v>
      </c>
      <c r="F52" s="93">
        <f t="shared" si="8"/>
        <v>0</v>
      </c>
      <c r="G52" s="44"/>
      <c r="J52" s="79" t="s">
        <v>167</v>
      </c>
      <c r="K52" s="44"/>
      <c r="L52" s="44">
        <f t="shared" ref="L52" si="9">(L51+F52)</f>
        <v>2415.1405000000004</v>
      </c>
      <c r="M52" s="44">
        <f t="shared" si="7"/>
        <v>915.14050000000009</v>
      </c>
      <c r="N52" s="44"/>
      <c r="O52" s="44"/>
    </row>
    <row r="53" spans="1:15">
      <c r="A53" s="157" t="s">
        <v>168</v>
      </c>
      <c r="B53" s="44">
        <v>4.8</v>
      </c>
      <c r="C53" s="44">
        <v>5.8</v>
      </c>
      <c r="D53" s="44">
        <v>1.1000000000000001</v>
      </c>
      <c r="E53" s="24">
        <f t="shared" si="1"/>
        <v>54.4</v>
      </c>
      <c r="F53" s="93">
        <f t="shared" si="8"/>
        <v>56.150000000000006</v>
      </c>
      <c r="G53" s="44"/>
      <c r="J53" s="79" t="s">
        <v>168</v>
      </c>
      <c r="K53" s="44">
        <v>970</v>
      </c>
      <c r="L53" s="44">
        <f>(L52+F53)</f>
        <v>2471.2905000000005</v>
      </c>
      <c r="M53" s="44">
        <f t="shared" si="7"/>
        <v>1.2905000000000655</v>
      </c>
      <c r="N53" s="44"/>
      <c r="O53" s="44"/>
    </row>
    <row r="54" spans="1:15">
      <c r="A54" s="157" t="s">
        <v>212</v>
      </c>
      <c r="B54" s="44"/>
      <c r="C54" s="44"/>
      <c r="D54" s="44"/>
      <c r="E54" s="44"/>
      <c r="F54" s="44"/>
      <c r="G54" s="44"/>
      <c r="J54" s="44"/>
      <c r="K54" s="44"/>
      <c r="L54" s="44"/>
      <c r="M54" s="44"/>
      <c r="N54" s="44"/>
      <c r="O54" s="44"/>
    </row>
    <row r="55" spans="1:15">
      <c r="A55" s="157" t="s">
        <v>213</v>
      </c>
      <c r="B55" s="44"/>
      <c r="C55" s="44"/>
      <c r="D55" s="44"/>
      <c r="E55" s="44"/>
      <c r="F55" s="44"/>
      <c r="G55" s="44"/>
      <c r="J55" s="44"/>
      <c r="K55" s="44"/>
      <c r="L55" s="44"/>
      <c r="M55" s="44"/>
      <c r="N55" s="44"/>
      <c r="O55" s="44"/>
    </row>
    <row r="56" spans="1:15">
      <c r="A56" s="157" t="s">
        <v>214</v>
      </c>
      <c r="B56" s="44"/>
      <c r="C56" s="44"/>
      <c r="D56" s="44"/>
      <c r="E56" s="44"/>
      <c r="F56" s="44"/>
      <c r="G56" s="44"/>
      <c r="J56" s="44"/>
      <c r="K56" s="44"/>
      <c r="L56" s="44"/>
      <c r="M56" s="44"/>
      <c r="N56" s="44"/>
      <c r="O56" s="44"/>
    </row>
    <row r="57" spans="1:15">
      <c r="A57" s="157" t="s">
        <v>215</v>
      </c>
      <c r="B57" s="44"/>
      <c r="C57" s="44"/>
      <c r="D57" s="44"/>
      <c r="E57" s="44"/>
      <c r="F57" s="44"/>
      <c r="G57" s="44"/>
      <c r="J57" s="44"/>
      <c r="K57" s="44"/>
      <c r="L57" s="44"/>
      <c r="M57" s="44"/>
      <c r="N57" s="44"/>
      <c r="O57" s="44"/>
    </row>
    <row r="58" spans="1:15">
      <c r="A58" s="157" t="s">
        <v>216</v>
      </c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</row>
    <row r="59" spans="1:15">
      <c r="A59" s="157" t="s">
        <v>217</v>
      </c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218</v>
      </c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219</v>
      </c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220</v>
      </c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221</v>
      </c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222</v>
      </c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223</v>
      </c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224</v>
      </c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225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226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23" display="Bas16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235</v>
      </c>
      <c r="B3" s="51"/>
      <c r="C3" s="51"/>
      <c r="F3" s="52" t="s">
        <v>106</v>
      </c>
      <c r="G3" s="53">
        <v>9849261497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90" t="s">
        <v>57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 t="shared" ref="E8:E53" si="0">(B8*6.5+C8*4)</f>
        <v>0</v>
      </c>
      <c r="F8" s="24">
        <f t="shared" ref="F8:F57" si="1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5161.8129999999992</v>
      </c>
      <c r="R8" s="44">
        <f>SUM(K8:K48)</f>
        <v>3400</v>
      </c>
      <c r="S8" s="44">
        <f>(Q8-R8)</f>
        <v>1761.8129999999992</v>
      </c>
      <c r="T8" s="44">
        <f>SUM(D8:D47)</f>
        <v>46.100000000000009</v>
      </c>
      <c r="U8" s="44"/>
    </row>
    <row r="9" spans="1:21">
      <c r="A9" s="62" t="s">
        <v>121</v>
      </c>
      <c r="B9" s="24"/>
      <c r="C9" s="24"/>
      <c r="D9" s="24"/>
      <c r="E9" s="24">
        <f t="shared" si="0"/>
        <v>0</v>
      </c>
      <c r="F9" s="24">
        <f t="shared" si="1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0"/>
        <v>0</v>
      </c>
      <c r="F10" s="24">
        <f t="shared" si="1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0"/>
        <v>0</v>
      </c>
      <c r="F11" s="24">
        <f t="shared" si="1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0"/>
        <v>0</v>
      </c>
      <c r="F12" s="93">
        <f t="shared" si="1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0"/>
        <v>0</v>
      </c>
      <c r="F13" s="93">
        <f t="shared" si="1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0"/>
        <v>0</v>
      </c>
      <c r="F14" s="93">
        <f t="shared" si="1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0"/>
        <v>0</v>
      </c>
      <c r="F15" s="93">
        <f t="shared" si="1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0"/>
        <v>0</v>
      </c>
      <c r="F16" s="93">
        <f t="shared" si="1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0"/>
        <v>0</v>
      </c>
      <c r="F17" s="93">
        <f t="shared" si="1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0"/>
        <v>0</v>
      </c>
      <c r="F18" s="93">
        <f t="shared" si="1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0"/>
        <v>0</v>
      </c>
      <c r="F19" s="93">
        <f t="shared" si="1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0"/>
        <v>0</v>
      </c>
      <c r="F20" s="93">
        <f t="shared" si="1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0"/>
        <v>0</v>
      </c>
      <c r="F21" s="93">
        <f t="shared" si="1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0"/>
        <v>0</v>
      </c>
      <c r="F22" s="93">
        <f t="shared" si="1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0"/>
        <v>0</v>
      </c>
      <c r="F23" s="93">
        <f t="shared" si="1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0"/>
        <v>0</v>
      </c>
      <c r="F24" s="75">
        <f t="shared" si="1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0"/>
        <v>0</v>
      </c>
      <c r="F25" s="93">
        <f t="shared" si="1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/>
      <c r="C26" s="93"/>
      <c r="D26" s="93"/>
      <c r="E26" s="24">
        <f t="shared" si="0"/>
        <v>0</v>
      </c>
      <c r="F26" s="93">
        <f t="shared" si="1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5">(M25+F26-K26)</f>
        <v>0</v>
      </c>
      <c r="N26" s="44"/>
      <c r="O26" s="44"/>
    </row>
    <row r="27" spans="1:21">
      <c r="A27" s="96" t="s">
        <v>141</v>
      </c>
      <c r="B27" s="93">
        <v>9.76</v>
      </c>
      <c r="C27" s="93">
        <v>8.52</v>
      </c>
      <c r="D27" s="93">
        <v>2</v>
      </c>
      <c r="E27" s="24">
        <f t="shared" si="0"/>
        <v>97.52</v>
      </c>
      <c r="F27" s="93">
        <f t="shared" si="1"/>
        <v>195.04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195.04</v>
      </c>
      <c r="M27" s="44">
        <f t="shared" ref="M27:M39" si="6">(M26+F27-K27)</f>
        <v>195.04</v>
      </c>
      <c r="N27" s="44"/>
      <c r="O27" s="44"/>
    </row>
    <row r="28" spans="1:21">
      <c r="A28" s="96" t="s">
        <v>142</v>
      </c>
      <c r="B28" s="93">
        <v>10</v>
      </c>
      <c r="C28" s="93">
        <v>8.9600000000000009</v>
      </c>
      <c r="D28" s="93">
        <v>1.9</v>
      </c>
      <c r="E28" s="24">
        <f t="shared" si="0"/>
        <v>100.84</v>
      </c>
      <c r="F28" s="93">
        <f t="shared" si="1"/>
        <v>191.596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386.63599999999997</v>
      </c>
      <c r="M28" s="44">
        <f t="shared" si="6"/>
        <v>386.63599999999997</v>
      </c>
      <c r="N28" s="44"/>
      <c r="O28" s="44"/>
    </row>
    <row r="29" spans="1:21">
      <c r="A29" s="96" t="s">
        <v>143</v>
      </c>
      <c r="B29" s="93">
        <v>9.25</v>
      </c>
      <c r="C29" s="93">
        <v>9.7200000000000006</v>
      </c>
      <c r="D29" s="93">
        <v>2.2000000000000002</v>
      </c>
      <c r="E29" s="24">
        <f t="shared" si="0"/>
        <v>99.004999999999995</v>
      </c>
      <c r="F29" s="93">
        <f t="shared" si="1"/>
        <v>217.81100000000001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604.447</v>
      </c>
      <c r="M29" s="44">
        <f t="shared" si="6"/>
        <v>604.447</v>
      </c>
      <c r="N29" s="44"/>
      <c r="O29" s="44"/>
    </row>
    <row r="30" spans="1:21">
      <c r="A30" s="96" t="s">
        <v>144</v>
      </c>
      <c r="B30" s="93">
        <v>9.34</v>
      </c>
      <c r="C30" s="93">
        <v>9</v>
      </c>
      <c r="D30" s="93">
        <v>2.1</v>
      </c>
      <c r="E30" s="24">
        <f t="shared" si="0"/>
        <v>96.710000000000008</v>
      </c>
      <c r="F30" s="93">
        <f t="shared" si="1"/>
        <v>203.09100000000004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807.53800000000001</v>
      </c>
      <c r="M30" s="44">
        <f t="shared" si="6"/>
        <v>807.53800000000001</v>
      </c>
      <c r="N30" s="44"/>
      <c r="O30" s="44"/>
    </row>
    <row r="31" spans="1:21">
      <c r="A31" s="96" t="s">
        <v>145</v>
      </c>
      <c r="B31" s="93">
        <v>9.1</v>
      </c>
      <c r="C31" s="93">
        <v>9.59</v>
      </c>
      <c r="D31" s="93">
        <v>2.2999999999999998</v>
      </c>
      <c r="E31" s="24">
        <f t="shared" si="0"/>
        <v>97.509999999999991</v>
      </c>
      <c r="F31" s="93">
        <f t="shared" si="1"/>
        <v>224.27299999999997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1031.8109999999999</v>
      </c>
      <c r="M31" s="44">
        <f t="shared" si="6"/>
        <v>1031.8109999999999</v>
      </c>
      <c r="N31" s="44"/>
      <c r="O31" s="44"/>
    </row>
    <row r="32" spans="1:21">
      <c r="A32" s="96" t="s">
        <v>146</v>
      </c>
      <c r="B32" s="93">
        <v>9.85</v>
      </c>
      <c r="C32" s="93">
        <v>9.67</v>
      </c>
      <c r="D32" s="93">
        <v>2.4</v>
      </c>
      <c r="E32" s="24">
        <f t="shared" si="0"/>
        <v>102.70499999999998</v>
      </c>
      <c r="F32" s="93">
        <f t="shared" si="1"/>
        <v>246.49199999999996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1278.3029999999999</v>
      </c>
      <c r="M32" s="44">
        <f t="shared" si="6"/>
        <v>1278.3029999999999</v>
      </c>
      <c r="N32" s="44"/>
      <c r="O32" s="44"/>
    </row>
    <row r="33" spans="1:15">
      <c r="A33" s="96" t="s">
        <v>147</v>
      </c>
      <c r="B33" s="93"/>
      <c r="C33" s="93"/>
      <c r="D33" s="93"/>
      <c r="E33" s="24">
        <f t="shared" si="0"/>
        <v>0</v>
      </c>
      <c r="F33" s="93">
        <f t="shared" si="1"/>
        <v>0</v>
      </c>
      <c r="G33" s="93" t="s">
        <v>155</v>
      </c>
      <c r="H33" s="20"/>
      <c r="I33" s="20"/>
      <c r="J33" s="62" t="s">
        <v>147</v>
      </c>
      <c r="K33" s="44">
        <v>1200</v>
      </c>
      <c r="L33" s="44">
        <f t="shared" si="2"/>
        <v>1278.3029999999999</v>
      </c>
      <c r="M33" s="44">
        <f>(M32+F33-K33)</f>
        <v>78.302999999999884</v>
      </c>
      <c r="N33" s="44"/>
      <c r="O33" s="44"/>
    </row>
    <row r="34" spans="1:15">
      <c r="A34" s="96" t="s">
        <v>148</v>
      </c>
      <c r="B34" s="93">
        <v>8.52</v>
      </c>
      <c r="C34" s="93">
        <v>7.82</v>
      </c>
      <c r="D34" s="93">
        <v>2.7</v>
      </c>
      <c r="E34" s="24">
        <f t="shared" si="0"/>
        <v>86.66</v>
      </c>
      <c r="F34" s="93">
        <f t="shared" si="1"/>
        <v>233.982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1512.2849999999999</v>
      </c>
      <c r="M34" s="44">
        <f t="shared" si="6"/>
        <v>312.28499999999985</v>
      </c>
      <c r="N34" s="44"/>
      <c r="O34" s="44"/>
    </row>
    <row r="35" spans="1:15">
      <c r="A35" s="96" t="s">
        <v>149</v>
      </c>
      <c r="B35" s="93">
        <v>9.36</v>
      </c>
      <c r="C35" s="93">
        <v>8.36</v>
      </c>
      <c r="D35" s="93">
        <v>2.6</v>
      </c>
      <c r="E35" s="24">
        <f t="shared" si="0"/>
        <v>94.28</v>
      </c>
      <c r="F35" s="93">
        <f t="shared" si="1"/>
        <v>245.12800000000001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1757.4129999999998</v>
      </c>
      <c r="M35" s="44">
        <f t="shared" si="6"/>
        <v>557.4129999999999</v>
      </c>
      <c r="N35" s="44"/>
      <c r="O35" s="44"/>
    </row>
    <row r="36" spans="1:15">
      <c r="A36" s="96" t="s">
        <v>150</v>
      </c>
      <c r="B36" s="93">
        <v>8.64</v>
      </c>
      <c r="C36" s="93">
        <v>8.7799999999999994</v>
      </c>
      <c r="D36" s="93">
        <v>2.5</v>
      </c>
      <c r="E36" s="24">
        <f t="shared" si="0"/>
        <v>91.28</v>
      </c>
      <c r="F36" s="93">
        <f t="shared" si="1"/>
        <v>228.2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1985.6129999999998</v>
      </c>
      <c r="M36" s="44">
        <f t="shared" si="6"/>
        <v>785.61299999999983</v>
      </c>
      <c r="N36" s="44"/>
      <c r="O36" s="44"/>
    </row>
    <row r="37" spans="1:15">
      <c r="A37" s="96" t="s">
        <v>151</v>
      </c>
      <c r="B37" s="93">
        <v>8.6999999999999993</v>
      </c>
      <c r="C37" s="93">
        <v>8.3000000000000007</v>
      </c>
      <c r="D37" s="93">
        <v>2.6</v>
      </c>
      <c r="E37" s="24">
        <f t="shared" si="0"/>
        <v>89.75</v>
      </c>
      <c r="F37" s="93">
        <f t="shared" si="1"/>
        <v>233.35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2218.9629999999997</v>
      </c>
      <c r="M37" s="44">
        <f t="shared" si="6"/>
        <v>1018.9629999999999</v>
      </c>
      <c r="N37" s="44"/>
      <c r="O37" s="44"/>
    </row>
    <row r="38" spans="1:15">
      <c r="A38" s="96" t="s">
        <v>152</v>
      </c>
      <c r="B38" s="93">
        <v>8.6</v>
      </c>
      <c r="C38" s="93">
        <v>9.6</v>
      </c>
      <c r="D38" s="93">
        <v>2.2000000000000002</v>
      </c>
      <c r="E38" s="24">
        <f t="shared" si="0"/>
        <v>94.3</v>
      </c>
      <c r="F38" s="93">
        <f t="shared" si="1"/>
        <v>207.46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2426.4229999999998</v>
      </c>
      <c r="M38" s="44">
        <f t="shared" si="6"/>
        <v>1226.4229999999998</v>
      </c>
      <c r="N38" s="44"/>
      <c r="O38" s="44"/>
    </row>
    <row r="39" spans="1:15">
      <c r="A39" s="96" t="s">
        <v>153</v>
      </c>
      <c r="B39" s="93">
        <v>8.5</v>
      </c>
      <c r="C39" s="93">
        <v>8.9</v>
      </c>
      <c r="D39" s="93">
        <v>2.5</v>
      </c>
      <c r="E39" s="93">
        <f t="shared" si="0"/>
        <v>90.85</v>
      </c>
      <c r="F39" s="93">
        <f t="shared" si="1"/>
        <v>227.125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2653.5479999999998</v>
      </c>
      <c r="M39" s="44">
        <f t="shared" si="6"/>
        <v>1453.5479999999998</v>
      </c>
      <c r="N39" s="44"/>
      <c r="O39" s="44"/>
    </row>
    <row r="40" spans="1:15">
      <c r="A40" s="96" t="s">
        <v>154</v>
      </c>
      <c r="B40" s="93">
        <v>8.3000000000000007</v>
      </c>
      <c r="C40" s="93">
        <v>8.9</v>
      </c>
      <c r="D40" s="93">
        <v>2.2999999999999998</v>
      </c>
      <c r="E40" s="24">
        <f t="shared" si="0"/>
        <v>89.550000000000011</v>
      </c>
      <c r="F40" s="93">
        <f t="shared" si="1"/>
        <v>205.965</v>
      </c>
      <c r="G40" s="93" t="s">
        <v>120</v>
      </c>
      <c r="H40" s="20"/>
      <c r="I40" s="20"/>
      <c r="J40" s="62" t="s">
        <v>154</v>
      </c>
      <c r="K40" s="44"/>
      <c r="L40" s="44">
        <f t="shared" si="2"/>
        <v>2859.5129999999999</v>
      </c>
      <c r="M40" s="44">
        <f t="shared" ref="M40:M53" si="7">(M39+F40-K40)</f>
        <v>1659.5129999999997</v>
      </c>
      <c r="N40" s="44"/>
      <c r="O40" s="44"/>
    </row>
    <row r="41" spans="1:15">
      <c r="A41" s="96" t="s">
        <v>156</v>
      </c>
      <c r="B41" s="93">
        <v>8.1999999999999993</v>
      </c>
      <c r="C41" s="93">
        <v>8.9</v>
      </c>
      <c r="D41" s="93">
        <v>2.2000000000000002</v>
      </c>
      <c r="E41" s="24">
        <f t="shared" si="0"/>
        <v>88.9</v>
      </c>
      <c r="F41" s="93">
        <f t="shared" si="1"/>
        <v>195.58000000000004</v>
      </c>
      <c r="G41" s="93"/>
      <c r="H41" s="20"/>
      <c r="I41" s="20"/>
      <c r="J41" s="62" t="s">
        <v>156</v>
      </c>
      <c r="K41" s="155"/>
      <c r="L41" s="44">
        <f t="shared" si="2"/>
        <v>3055.0929999999998</v>
      </c>
      <c r="M41" s="44">
        <f t="shared" si="7"/>
        <v>1855.0929999999998</v>
      </c>
      <c r="N41" s="44"/>
      <c r="O41" s="44"/>
    </row>
    <row r="42" spans="1:15">
      <c r="A42" s="96" t="s">
        <v>157</v>
      </c>
      <c r="B42" s="93">
        <v>8.5</v>
      </c>
      <c r="C42" s="93">
        <v>8.1</v>
      </c>
      <c r="D42" s="93">
        <v>2.2000000000000002</v>
      </c>
      <c r="E42" s="24">
        <f t="shared" si="0"/>
        <v>87.65</v>
      </c>
      <c r="F42" s="93">
        <f t="shared" si="1"/>
        <v>192.83000000000004</v>
      </c>
      <c r="G42" s="93"/>
      <c r="H42" s="20"/>
      <c r="I42" s="20"/>
      <c r="J42" s="62" t="s">
        <v>157</v>
      </c>
      <c r="K42" s="155">
        <v>1000</v>
      </c>
      <c r="L42" s="44">
        <f t="shared" si="2"/>
        <v>3247.9229999999998</v>
      </c>
      <c r="M42" s="44">
        <f t="shared" si="7"/>
        <v>1047.9229999999998</v>
      </c>
      <c r="N42" s="44"/>
      <c r="O42" s="44"/>
    </row>
    <row r="43" spans="1:15">
      <c r="A43" s="96" t="s">
        <v>158</v>
      </c>
      <c r="B43" s="93">
        <v>8.8000000000000007</v>
      </c>
      <c r="C43" s="93">
        <v>8.9</v>
      </c>
      <c r="D43" s="93">
        <v>1.9</v>
      </c>
      <c r="E43" s="24">
        <f t="shared" si="0"/>
        <v>92.800000000000011</v>
      </c>
      <c r="F43" s="93">
        <f t="shared" si="1"/>
        <v>176.32000000000002</v>
      </c>
      <c r="G43" s="93"/>
      <c r="H43" s="20"/>
      <c r="I43" s="20"/>
      <c r="J43" s="62" t="s">
        <v>158</v>
      </c>
      <c r="K43" s="44">
        <v>1200</v>
      </c>
      <c r="L43" s="44">
        <f t="shared" si="2"/>
        <v>3424.2429999999999</v>
      </c>
      <c r="M43" s="44">
        <f t="shared" si="7"/>
        <v>24.242999999999711</v>
      </c>
      <c r="N43" s="44"/>
      <c r="O43" s="44"/>
    </row>
    <row r="44" spans="1:15">
      <c r="A44" s="96" t="s">
        <v>159</v>
      </c>
      <c r="B44" s="93">
        <v>8.1999999999999993</v>
      </c>
      <c r="C44" s="93">
        <v>8.6</v>
      </c>
      <c r="D44" s="93">
        <v>2.5</v>
      </c>
      <c r="E44" s="24">
        <f t="shared" si="0"/>
        <v>87.699999999999989</v>
      </c>
      <c r="F44" s="93">
        <f t="shared" si="1"/>
        <v>219.24999999999997</v>
      </c>
      <c r="G44" s="93"/>
      <c r="H44" s="20"/>
      <c r="I44" s="20"/>
      <c r="J44" s="62" t="s">
        <v>159</v>
      </c>
      <c r="K44" s="44"/>
      <c r="L44" s="44">
        <f t="shared" si="2"/>
        <v>3643.4929999999999</v>
      </c>
      <c r="M44" s="44">
        <f t="shared" si="7"/>
        <v>243.49299999999968</v>
      </c>
      <c r="N44" s="44"/>
      <c r="O44" s="44"/>
    </row>
    <row r="45" spans="1:15">
      <c r="A45" s="96" t="s">
        <v>160</v>
      </c>
      <c r="B45" s="93">
        <v>8.6</v>
      </c>
      <c r="C45" s="93">
        <v>8.6999999999999993</v>
      </c>
      <c r="D45" s="93">
        <v>2.4</v>
      </c>
      <c r="E45" s="24">
        <f t="shared" si="0"/>
        <v>90.699999999999989</v>
      </c>
      <c r="F45" s="93">
        <f t="shared" si="1"/>
        <v>217.67999999999998</v>
      </c>
      <c r="G45" s="93"/>
      <c r="H45" s="20"/>
      <c r="I45" s="20"/>
      <c r="J45" s="62" t="s">
        <v>160</v>
      </c>
      <c r="K45" s="44"/>
      <c r="L45" s="44">
        <f t="shared" si="2"/>
        <v>3861.1729999999998</v>
      </c>
      <c r="M45" s="44">
        <f t="shared" si="7"/>
        <v>461.17299999999966</v>
      </c>
      <c r="N45" s="44"/>
      <c r="O45" s="44"/>
    </row>
    <row r="46" spans="1:15">
      <c r="A46" s="96" t="s">
        <v>161</v>
      </c>
      <c r="B46" s="93">
        <v>7.9</v>
      </c>
      <c r="C46" s="93">
        <v>8.8000000000000007</v>
      </c>
      <c r="D46" s="93">
        <v>2.2000000000000002</v>
      </c>
      <c r="E46" s="24">
        <f t="shared" si="0"/>
        <v>86.550000000000011</v>
      </c>
      <c r="F46" s="93">
        <f t="shared" si="1"/>
        <v>190.41000000000005</v>
      </c>
      <c r="G46" s="93"/>
      <c r="H46" s="20"/>
      <c r="I46" s="20"/>
      <c r="J46" s="62" t="s">
        <v>161</v>
      </c>
      <c r="K46" s="44"/>
      <c r="L46" s="44">
        <f t="shared" si="2"/>
        <v>4051.5829999999996</v>
      </c>
      <c r="M46" s="44">
        <f t="shared" si="7"/>
        <v>651.58299999999974</v>
      </c>
      <c r="N46" s="44"/>
      <c r="O46" s="44"/>
    </row>
    <row r="47" spans="1:15">
      <c r="A47" s="96" t="s">
        <v>162</v>
      </c>
      <c r="B47" s="99">
        <v>8.9</v>
      </c>
      <c r="C47" s="99">
        <v>8.6999999999999993</v>
      </c>
      <c r="D47" s="99">
        <v>2.4</v>
      </c>
      <c r="E47" s="24">
        <f t="shared" si="0"/>
        <v>92.65</v>
      </c>
      <c r="F47" s="93">
        <f t="shared" si="1"/>
        <v>222.36</v>
      </c>
      <c r="G47" s="99"/>
      <c r="H47" s="20"/>
      <c r="I47" s="20"/>
      <c r="J47" s="79" t="s">
        <v>162</v>
      </c>
      <c r="K47" s="86"/>
      <c r="L47" s="44">
        <f t="shared" si="2"/>
        <v>4273.9429999999993</v>
      </c>
      <c r="M47" s="44">
        <f t="shared" si="7"/>
        <v>873.94299999999976</v>
      </c>
      <c r="N47" s="86"/>
      <c r="O47" s="86"/>
    </row>
    <row r="48" spans="1:15">
      <c r="A48" s="158" t="s">
        <v>163</v>
      </c>
      <c r="B48" s="159"/>
      <c r="C48" s="159"/>
      <c r="D48" s="159"/>
      <c r="E48" s="68">
        <f t="shared" si="0"/>
        <v>0</v>
      </c>
      <c r="F48" s="68">
        <f t="shared" si="1"/>
        <v>0</v>
      </c>
      <c r="G48" s="44"/>
      <c r="J48" s="158" t="s">
        <v>163</v>
      </c>
      <c r="K48" s="44"/>
      <c r="L48" s="44">
        <f t="shared" si="2"/>
        <v>4273.9429999999993</v>
      </c>
      <c r="M48" s="44">
        <f t="shared" si="7"/>
        <v>873.94299999999976</v>
      </c>
      <c r="N48" s="44"/>
      <c r="O48" s="44"/>
    </row>
    <row r="49" spans="1:15">
      <c r="A49" s="157" t="s">
        <v>164</v>
      </c>
      <c r="B49" s="44">
        <v>9.9</v>
      </c>
      <c r="C49" s="44">
        <v>9</v>
      </c>
      <c r="D49" s="44">
        <v>3</v>
      </c>
      <c r="E49" s="24">
        <f t="shared" si="0"/>
        <v>100.35000000000001</v>
      </c>
      <c r="F49" s="93">
        <f t="shared" si="1"/>
        <v>301.05</v>
      </c>
      <c r="G49" s="44"/>
      <c r="J49" s="157" t="s">
        <v>164</v>
      </c>
      <c r="K49" s="44"/>
      <c r="L49" s="44">
        <f t="shared" si="2"/>
        <v>4574.9929999999995</v>
      </c>
      <c r="M49" s="44">
        <f t="shared" si="7"/>
        <v>1174.9929999999997</v>
      </c>
      <c r="N49" s="44"/>
      <c r="O49" s="44"/>
    </row>
    <row r="50" spans="1:15">
      <c r="A50" s="157" t="s">
        <v>165</v>
      </c>
      <c r="B50" s="44">
        <v>10</v>
      </c>
      <c r="C50" s="44">
        <v>8.9</v>
      </c>
      <c r="D50" s="44">
        <v>1.5</v>
      </c>
      <c r="E50" s="24">
        <f t="shared" si="0"/>
        <v>100.6</v>
      </c>
      <c r="F50" s="93">
        <f t="shared" si="1"/>
        <v>150.89999999999998</v>
      </c>
      <c r="G50" s="44"/>
      <c r="J50" s="157" t="s">
        <v>165</v>
      </c>
      <c r="K50" s="44"/>
      <c r="L50" s="44">
        <f t="shared" si="2"/>
        <v>4725.8929999999991</v>
      </c>
      <c r="M50" s="44">
        <f t="shared" si="7"/>
        <v>1325.8929999999996</v>
      </c>
      <c r="N50" s="44"/>
      <c r="O50" s="44"/>
    </row>
    <row r="51" spans="1:15">
      <c r="A51" s="157" t="s">
        <v>166</v>
      </c>
      <c r="B51" s="44">
        <v>6.6</v>
      </c>
      <c r="C51" s="44">
        <v>5.2</v>
      </c>
      <c r="D51" s="44">
        <v>1.9</v>
      </c>
      <c r="E51" s="24">
        <f t="shared" si="0"/>
        <v>63.7</v>
      </c>
      <c r="F51" s="93">
        <f t="shared" si="1"/>
        <v>121.03</v>
      </c>
      <c r="G51" s="44"/>
      <c r="J51" s="157" t="s">
        <v>166</v>
      </c>
      <c r="K51" s="44"/>
      <c r="L51" s="44">
        <f t="shared" si="2"/>
        <v>4846.9229999999989</v>
      </c>
      <c r="M51" s="44">
        <f t="shared" si="7"/>
        <v>1446.9229999999995</v>
      </c>
      <c r="N51" s="44"/>
      <c r="O51" s="44"/>
    </row>
    <row r="52" spans="1:15">
      <c r="A52" s="157" t="s">
        <v>167</v>
      </c>
      <c r="B52" s="44">
        <v>8.1999999999999993</v>
      </c>
      <c r="C52" s="44">
        <v>8.6999999999999993</v>
      </c>
      <c r="D52" s="44">
        <v>1.9</v>
      </c>
      <c r="E52" s="24">
        <f t="shared" si="0"/>
        <v>88.1</v>
      </c>
      <c r="F52" s="93">
        <f t="shared" si="1"/>
        <v>167.39</v>
      </c>
      <c r="G52" s="44"/>
      <c r="J52" s="157" t="s">
        <v>167</v>
      </c>
      <c r="K52" s="44"/>
      <c r="L52" s="44">
        <f t="shared" si="2"/>
        <v>5014.3129999999992</v>
      </c>
      <c r="M52" s="44">
        <f t="shared" si="7"/>
        <v>1614.3129999999996</v>
      </c>
      <c r="N52" s="44"/>
      <c r="O52" s="44"/>
    </row>
    <row r="53" spans="1:15">
      <c r="A53" s="157" t="s">
        <v>168</v>
      </c>
      <c r="B53" s="44">
        <v>7.1</v>
      </c>
      <c r="C53" s="44">
        <v>6.9</v>
      </c>
      <c r="D53" s="44">
        <v>2</v>
      </c>
      <c r="E53" s="24">
        <f t="shared" si="0"/>
        <v>73.75</v>
      </c>
      <c r="F53" s="93">
        <f t="shared" si="1"/>
        <v>147.5</v>
      </c>
      <c r="G53" s="44"/>
      <c r="J53" s="157" t="s">
        <v>168</v>
      </c>
      <c r="K53" s="44">
        <v>1760</v>
      </c>
      <c r="L53" s="44">
        <f t="shared" si="2"/>
        <v>5161.8129999999992</v>
      </c>
      <c r="M53" s="44">
        <f t="shared" si="7"/>
        <v>1.8129999999996471</v>
      </c>
      <c r="N53" s="44"/>
      <c r="O53" s="44"/>
    </row>
    <row r="54" spans="1:15">
      <c r="A54" s="157" t="s">
        <v>212</v>
      </c>
      <c r="B54" s="44"/>
      <c r="C54" s="44"/>
      <c r="D54" s="44"/>
      <c r="E54" s="44"/>
      <c r="F54" s="93">
        <f t="shared" si="1"/>
        <v>0</v>
      </c>
      <c r="G54" s="44"/>
      <c r="J54" s="44"/>
      <c r="K54" s="44"/>
      <c r="L54" s="44"/>
      <c r="M54" s="44"/>
      <c r="N54" s="44"/>
      <c r="O54" s="44"/>
    </row>
    <row r="55" spans="1:15">
      <c r="A55" s="157" t="s">
        <v>213</v>
      </c>
      <c r="B55" s="44"/>
      <c r="C55" s="44"/>
      <c r="D55" s="44"/>
      <c r="E55" s="44"/>
      <c r="F55" s="93">
        <f t="shared" si="1"/>
        <v>0</v>
      </c>
      <c r="G55" s="44"/>
      <c r="J55" s="44"/>
      <c r="K55" s="44"/>
      <c r="L55" s="44"/>
      <c r="M55" s="44"/>
      <c r="N55" s="44"/>
      <c r="O55" s="44"/>
    </row>
    <row r="56" spans="1:15">
      <c r="A56" s="157" t="s">
        <v>214</v>
      </c>
      <c r="B56" s="44"/>
      <c r="C56" s="44"/>
      <c r="D56" s="44"/>
      <c r="E56" s="44"/>
      <c r="F56" s="93">
        <f t="shared" si="1"/>
        <v>0</v>
      </c>
      <c r="G56" s="44"/>
      <c r="J56" s="44"/>
      <c r="K56" s="44"/>
      <c r="L56" s="44"/>
      <c r="M56" s="44"/>
      <c r="N56" s="44"/>
      <c r="O56" s="44"/>
    </row>
    <row r="57" spans="1:15">
      <c r="A57" s="157" t="s">
        <v>215</v>
      </c>
      <c r="B57" s="44"/>
      <c r="C57" s="44"/>
      <c r="D57" s="44"/>
      <c r="E57" s="44"/>
      <c r="F57" s="93">
        <f t="shared" si="1"/>
        <v>0</v>
      </c>
      <c r="G57" s="44"/>
      <c r="J57" s="44"/>
      <c r="K57" s="44"/>
      <c r="L57" s="44"/>
      <c r="M57" s="44"/>
      <c r="N57" s="44"/>
      <c r="O57" s="44"/>
    </row>
    <row r="58" spans="1:15">
      <c r="A58" s="157" t="s">
        <v>216</v>
      </c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</row>
    <row r="59" spans="1:15">
      <c r="A59" s="157" t="s">
        <v>217</v>
      </c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218</v>
      </c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219</v>
      </c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220</v>
      </c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221</v>
      </c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222</v>
      </c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223</v>
      </c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224</v>
      </c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225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226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24" display="Bas17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.8867187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236</v>
      </c>
      <c r="B3" s="51"/>
      <c r="C3" s="51"/>
      <c r="F3" s="52" t="s">
        <v>106</v>
      </c>
      <c r="G3" s="53">
        <v>9849261497</v>
      </c>
      <c r="H3" s="54"/>
    </row>
    <row r="5" spans="1:21">
      <c r="A5" s="50" t="s">
        <v>199</v>
      </c>
      <c r="B5" s="51"/>
      <c r="C5" s="51"/>
      <c r="D5" s="51"/>
      <c r="E5" s="51"/>
      <c r="F5" s="174" t="s">
        <v>18</v>
      </c>
      <c r="G5" s="90" t="s">
        <v>59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7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5776.268</v>
      </c>
      <c r="R8" s="44">
        <f>SUM(K8:K48)</f>
        <v>3500</v>
      </c>
      <c r="S8" s="44">
        <f>(Q8-R8)</f>
        <v>2276.268</v>
      </c>
      <c r="T8" s="44">
        <f>SUM(D8:D47)</f>
        <v>50.2</v>
      </c>
      <c r="U8" s="44"/>
    </row>
    <row r="9" spans="1:21">
      <c r="A9" s="62" t="s">
        <v>121</v>
      </c>
      <c r="B9" s="24"/>
      <c r="C9" s="24"/>
      <c r="D9" s="24"/>
      <c r="E9" s="24">
        <f t="shared" ref="E9:E57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2" si="2">(L8+F9)</f>
        <v>0</v>
      </c>
      <c r="M9" s="44">
        <f t="shared" ref="M9:M22" si="3">(M8+F9-K9)</f>
        <v>0</v>
      </c>
      <c r="N9" s="44" t="str">
        <f t="shared" ref="N9:N4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ref="L23:L57" si="5">(L22+F23)</f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78">
        <f t="shared" si="5"/>
        <v>0</v>
      </c>
      <c r="M24" s="78">
        <f>(M23+F24-K24)</f>
        <v>0</v>
      </c>
      <c r="N24" s="78" t="str">
        <f t="shared" si="4"/>
        <v>Cr</v>
      </c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5"/>
        <v>0</v>
      </c>
      <c r="M25" s="44">
        <f>(M24+F25-K25)</f>
        <v>0</v>
      </c>
      <c r="N25" s="44" t="str">
        <f t="shared" si="4"/>
        <v>Cr</v>
      </c>
      <c r="O25" s="44"/>
    </row>
    <row r="26" spans="1:21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5"/>
        <v>0</v>
      </c>
      <c r="M26" s="44">
        <f t="shared" ref="M26" si="6">(M25+F26-K26)</f>
        <v>0</v>
      </c>
      <c r="N26" s="44" t="str">
        <f t="shared" si="4"/>
        <v>Cr</v>
      </c>
      <c r="O26" s="44"/>
    </row>
    <row r="27" spans="1:21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5"/>
        <v>0</v>
      </c>
      <c r="M27" s="44">
        <f t="shared" ref="M27:M39" si="7">(M26+F27-K27)</f>
        <v>0</v>
      </c>
      <c r="N27" s="44" t="str">
        <f t="shared" si="4"/>
        <v>Cr</v>
      </c>
      <c r="O27" s="44"/>
    </row>
    <row r="28" spans="1:21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5"/>
        <v>0</v>
      </c>
      <c r="M28" s="44">
        <f t="shared" si="7"/>
        <v>0</v>
      </c>
      <c r="N28" s="44" t="str">
        <f t="shared" si="4"/>
        <v>Cr</v>
      </c>
      <c r="O28" s="44"/>
    </row>
    <row r="29" spans="1:21">
      <c r="A29" s="96" t="s">
        <v>143</v>
      </c>
      <c r="B29" s="93">
        <v>6.74</v>
      </c>
      <c r="C29" s="93">
        <v>9.57</v>
      </c>
      <c r="D29" s="93">
        <v>2.9</v>
      </c>
      <c r="E29" s="24">
        <f t="shared" si="1"/>
        <v>82.09</v>
      </c>
      <c r="F29" s="93">
        <f t="shared" si="0"/>
        <v>238.06100000000001</v>
      </c>
      <c r="G29" s="93" t="s">
        <v>120</v>
      </c>
      <c r="H29" s="20"/>
      <c r="I29" s="20"/>
      <c r="J29" s="62" t="s">
        <v>143</v>
      </c>
      <c r="K29" s="44"/>
      <c r="L29" s="44">
        <f t="shared" si="5"/>
        <v>238.06100000000001</v>
      </c>
      <c r="M29" s="44">
        <f t="shared" si="7"/>
        <v>238.06100000000001</v>
      </c>
      <c r="N29" s="44" t="str">
        <f t="shared" si="4"/>
        <v>Cr</v>
      </c>
      <c r="O29" s="44"/>
    </row>
    <row r="30" spans="1:21">
      <c r="A30" s="96" t="s">
        <v>144</v>
      </c>
      <c r="B30" s="93">
        <v>6.24</v>
      </c>
      <c r="C30" s="93">
        <v>9.68</v>
      </c>
      <c r="D30" s="93">
        <v>3.2</v>
      </c>
      <c r="E30" s="24">
        <f t="shared" si="1"/>
        <v>79.28</v>
      </c>
      <c r="F30" s="93">
        <f t="shared" si="0"/>
        <v>253.69600000000003</v>
      </c>
      <c r="G30" s="93" t="s">
        <v>120</v>
      </c>
      <c r="H30" s="20"/>
      <c r="I30" s="20"/>
      <c r="J30" s="62" t="s">
        <v>144</v>
      </c>
      <c r="K30" s="44"/>
      <c r="L30" s="44">
        <f t="shared" si="5"/>
        <v>491.75700000000006</v>
      </c>
      <c r="M30" s="44">
        <f t="shared" si="7"/>
        <v>491.75700000000006</v>
      </c>
      <c r="N30" s="44" t="str">
        <f t="shared" si="4"/>
        <v>Cr</v>
      </c>
      <c r="O30" s="44"/>
    </row>
    <row r="31" spans="1:21">
      <c r="A31" s="96" t="s">
        <v>145</v>
      </c>
      <c r="B31" s="93">
        <v>6.29</v>
      </c>
      <c r="C31" s="93">
        <v>10</v>
      </c>
      <c r="D31" s="93">
        <v>3.4</v>
      </c>
      <c r="E31" s="24">
        <f t="shared" si="1"/>
        <v>80.884999999999991</v>
      </c>
      <c r="F31" s="93">
        <f t="shared" si="0"/>
        <v>275.00899999999996</v>
      </c>
      <c r="G31" s="93" t="s">
        <v>120</v>
      </c>
      <c r="H31" s="20"/>
      <c r="I31" s="20"/>
      <c r="J31" s="62" t="s">
        <v>145</v>
      </c>
      <c r="K31" s="44"/>
      <c r="L31" s="44">
        <f t="shared" si="5"/>
        <v>766.76600000000008</v>
      </c>
      <c r="M31" s="44">
        <f t="shared" si="7"/>
        <v>766.76600000000008</v>
      </c>
      <c r="N31" s="44" t="str">
        <f t="shared" si="4"/>
        <v>Cr</v>
      </c>
      <c r="O31" s="44"/>
    </row>
    <row r="32" spans="1:21">
      <c r="A32" s="96" t="s">
        <v>146</v>
      </c>
      <c r="B32" s="93">
        <v>6.29</v>
      </c>
      <c r="C32" s="93">
        <v>10</v>
      </c>
      <c r="D32" s="93">
        <v>3</v>
      </c>
      <c r="E32" s="24">
        <f t="shared" si="1"/>
        <v>80.884999999999991</v>
      </c>
      <c r="F32" s="93">
        <f t="shared" si="0"/>
        <v>242.65499999999997</v>
      </c>
      <c r="G32" s="93" t="s">
        <v>120</v>
      </c>
      <c r="H32" s="20"/>
      <c r="I32" s="20"/>
      <c r="J32" s="62" t="s">
        <v>146</v>
      </c>
      <c r="K32" s="44"/>
      <c r="L32" s="44">
        <f t="shared" si="5"/>
        <v>1009.421</v>
      </c>
      <c r="M32" s="44">
        <f t="shared" si="7"/>
        <v>1009.421</v>
      </c>
      <c r="N32" s="44" t="str">
        <f t="shared" si="4"/>
        <v>Cr</v>
      </c>
      <c r="O32" s="44"/>
    </row>
    <row r="33" spans="1:15">
      <c r="A33" s="96" t="s">
        <v>147</v>
      </c>
      <c r="B33" s="93">
        <v>6.29</v>
      </c>
      <c r="C33" s="93">
        <v>10</v>
      </c>
      <c r="D33" s="93">
        <v>3.8</v>
      </c>
      <c r="E33" s="24">
        <f t="shared" si="1"/>
        <v>80.884999999999991</v>
      </c>
      <c r="F33" s="93">
        <f t="shared" si="0"/>
        <v>307.36299999999994</v>
      </c>
      <c r="G33" s="93" t="s">
        <v>155</v>
      </c>
      <c r="H33" s="20"/>
      <c r="I33" s="20"/>
      <c r="J33" s="62" t="s">
        <v>147</v>
      </c>
      <c r="K33" s="44">
        <v>1300</v>
      </c>
      <c r="L33" s="44">
        <f t="shared" si="5"/>
        <v>1316.7840000000001</v>
      </c>
      <c r="M33" s="44">
        <f>(M32+F33-K33)</f>
        <v>16.784000000000106</v>
      </c>
      <c r="N33" s="44" t="str">
        <f t="shared" si="4"/>
        <v>Cr</v>
      </c>
      <c r="O33" s="44"/>
    </row>
    <row r="34" spans="1:15">
      <c r="A34" s="96" t="s">
        <v>148</v>
      </c>
      <c r="B34" s="93">
        <v>7.1</v>
      </c>
      <c r="C34" s="93">
        <v>9.4</v>
      </c>
      <c r="D34" s="93">
        <v>3.8</v>
      </c>
      <c r="E34" s="24">
        <f t="shared" si="1"/>
        <v>83.75</v>
      </c>
      <c r="F34" s="93">
        <f t="shared" si="0"/>
        <v>318.25</v>
      </c>
      <c r="G34" s="93" t="s">
        <v>120</v>
      </c>
      <c r="H34" s="20"/>
      <c r="I34" s="20"/>
      <c r="J34" s="62" t="s">
        <v>148</v>
      </c>
      <c r="K34" s="44"/>
      <c r="L34" s="44">
        <f t="shared" si="5"/>
        <v>1635.0340000000001</v>
      </c>
      <c r="M34" s="44">
        <f t="shared" si="7"/>
        <v>335.03400000000011</v>
      </c>
      <c r="N34" s="44" t="str">
        <f t="shared" si="4"/>
        <v>Cr</v>
      </c>
      <c r="O34" s="44"/>
    </row>
    <row r="35" spans="1:15">
      <c r="A35" s="96" t="s">
        <v>149</v>
      </c>
      <c r="B35" s="93">
        <v>7.1</v>
      </c>
      <c r="C35" s="93">
        <v>9.4</v>
      </c>
      <c r="D35" s="93">
        <v>3.8</v>
      </c>
      <c r="E35" s="24">
        <f t="shared" si="1"/>
        <v>83.75</v>
      </c>
      <c r="F35" s="93">
        <f t="shared" si="0"/>
        <v>318.25</v>
      </c>
      <c r="G35" s="93" t="s">
        <v>120</v>
      </c>
      <c r="H35" s="20"/>
      <c r="I35" s="20"/>
      <c r="J35" s="62" t="s">
        <v>149</v>
      </c>
      <c r="K35" s="44"/>
      <c r="L35" s="44">
        <f t="shared" si="5"/>
        <v>1953.2840000000001</v>
      </c>
      <c r="M35" s="44">
        <f t="shared" si="7"/>
        <v>653.28400000000011</v>
      </c>
      <c r="N35" s="44" t="str">
        <f t="shared" si="4"/>
        <v>Cr</v>
      </c>
      <c r="O35" s="44"/>
    </row>
    <row r="36" spans="1:15">
      <c r="A36" s="96" t="s">
        <v>150</v>
      </c>
      <c r="B36" s="93">
        <v>6.42</v>
      </c>
      <c r="C36" s="93">
        <v>9.23</v>
      </c>
      <c r="D36" s="93">
        <v>2.7</v>
      </c>
      <c r="E36" s="24">
        <f t="shared" si="1"/>
        <v>78.650000000000006</v>
      </c>
      <c r="F36" s="93">
        <f t="shared" si="0"/>
        <v>212.35500000000002</v>
      </c>
      <c r="G36" s="93" t="s">
        <v>120</v>
      </c>
      <c r="H36" s="20"/>
      <c r="I36" s="20"/>
      <c r="J36" s="62" t="s">
        <v>150</v>
      </c>
      <c r="K36" s="44"/>
      <c r="L36" s="44">
        <f t="shared" si="5"/>
        <v>2165.6390000000001</v>
      </c>
      <c r="M36" s="44">
        <f t="shared" si="7"/>
        <v>865.63900000000012</v>
      </c>
      <c r="N36" s="44" t="str">
        <f t="shared" si="4"/>
        <v>Cr</v>
      </c>
      <c r="O36" s="44"/>
    </row>
    <row r="37" spans="1:15">
      <c r="A37" s="96" t="s">
        <v>151</v>
      </c>
      <c r="B37" s="93">
        <v>6.44</v>
      </c>
      <c r="C37" s="93">
        <v>9.1</v>
      </c>
      <c r="D37" s="93">
        <v>2.4</v>
      </c>
      <c r="E37" s="24">
        <f t="shared" si="1"/>
        <v>78.259999999999991</v>
      </c>
      <c r="F37" s="93">
        <f t="shared" si="0"/>
        <v>187.82399999999998</v>
      </c>
      <c r="G37" s="93" t="s">
        <v>120</v>
      </c>
      <c r="H37" s="20"/>
      <c r="I37" s="20"/>
      <c r="J37" s="62" t="s">
        <v>151</v>
      </c>
      <c r="K37" s="44"/>
      <c r="L37" s="44">
        <f t="shared" si="5"/>
        <v>2353.4630000000002</v>
      </c>
      <c r="M37" s="44">
        <f t="shared" si="7"/>
        <v>1053.4630000000002</v>
      </c>
      <c r="N37" s="44" t="str">
        <f t="shared" si="4"/>
        <v>Cr</v>
      </c>
      <c r="O37" s="44"/>
    </row>
    <row r="38" spans="1:15">
      <c r="A38" s="96" t="s">
        <v>152</v>
      </c>
      <c r="B38" s="93">
        <v>6.7</v>
      </c>
      <c r="C38" s="93">
        <v>10</v>
      </c>
      <c r="D38" s="93">
        <v>2.5</v>
      </c>
      <c r="E38" s="24">
        <f t="shared" si="1"/>
        <v>83.550000000000011</v>
      </c>
      <c r="F38" s="93">
        <f t="shared" si="0"/>
        <v>208.87500000000003</v>
      </c>
      <c r="G38" s="93" t="s">
        <v>120</v>
      </c>
      <c r="H38" s="20"/>
      <c r="I38" s="20"/>
      <c r="J38" s="62" t="s">
        <v>152</v>
      </c>
      <c r="K38" s="44"/>
      <c r="L38" s="44">
        <f t="shared" si="5"/>
        <v>2562.3380000000002</v>
      </c>
      <c r="M38" s="44">
        <f t="shared" si="7"/>
        <v>1262.3380000000002</v>
      </c>
      <c r="N38" s="44" t="str">
        <f t="shared" si="4"/>
        <v>Cr</v>
      </c>
      <c r="O38" s="44"/>
    </row>
    <row r="39" spans="1:15">
      <c r="A39" s="96" t="s">
        <v>153</v>
      </c>
      <c r="B39" s="93">
        <v>4.5999999999999996</v>
      </c>
      <c r="C39" s="93">
        <v>6.6</v>
      </c>
      <c r="D39" s="93">
        <v>3</v>
      </c>
      <c r="E39" s="93">
        <f t="shared" si="1"/>
        <v>56.3</v>
      </c>
      <c r="F39" s="93">
        <f t="shared" si="0"/>
        <v>168.89999999999998</v>
      </c>
      <c r="G39" s="93" t="s">
        <v>120</v>
      </c>
      <c r="H39" s="20"/>
      <c r="I39" s="20"/>
      <c r="J39" s="62" t="s">
        <v>153</v>
      </c>
      <c r="K39" s="44"/>
      <c r="L39" s="44">
        <f t="shared" si="5"/>
        <v>2731.2380000000003</v>
      </c>
      <c r="M39" s="44">
        <f t="shared" si="7"/>
        <v>1431.2380000000003</v>
      </c>
      <c r="N39" s="44" t="str">
        <f t="shared" si="4"/>
        <v>Cr</v>
      </c>
      <c r="O39" s="44"/>
    </row>
    <row r="40" spans="1:15">
      <c r="A40" s="96" t="s">
        <v>154</v>
      </c>
      <c r="B40" s="93">
        <v>6</v>
      </c>
      <c r="C40" s="93">
        <v>9.3000000000000007</v>
      </c>
      <c r="D40" s="93">
        <v>2.5</v>
      </c>
      <c r="E40" s="24">
        <f t="shared" si="1"/>
        <v>76.2</v>
      </c>
      <c r="F40" s="93">
        <f t="shared" si="0"/>
        <v>190.5</v>
      </c>
      <c r="G40" s="93" t="s">
        <v>120</v>
      </c>
      <c r="H40" s="20"/>
      <c r="I40" s="20"/>
      <c r="J40" s="62" t="s">
        <v>154</v>
      </c>
      <c r="K40" s="44"/>
      <c r="L40" s="44">
        <f t="shared" si="5"/>
        <v>2921.7380000000003</v>
      </c>
      <c r="M40" s="44">
        <f t="shared" ref="M40:M57" si="8">(M39+F40-K40)</f>
        <v>1621.7380000000003</v>
      </c>
      <c r="N40" s="44" t="str">
        <f t="shared" si="4"/>
        <v>Cr</v>
      </c>
      <c r="O40" s="44"/>
    </row>
    <row r="41" spans="1:15">
      <c r="A41" s="96" t="s">
        <v>156</v>
      </c>
      <c r="B41" s="93">
        <v>5.8</v>
      </c>
      <c r="C41" s="93">
        <v>9.6</v>
      </c>
      <c r="D41" s="93">
        <v>2.6</v>
      </c>
      <c r="E41" s="24">
        <f t="shared" si="1"/>
        <v>76.099999999999994</v>
      </c>
      <c r="F41" s="93">
        <f t="shared" si="0"/>
        <v>197.85999999999999</v>
      </c>
      <c r="G41" s="93" t="s">
        <v>120</v>
      </c>
      <c r="H41" s="20"/>
      <c r="I41" s="20"/>
      <c r="J41" s="62" t="s">
        <v>156</v>
      </c>
      <c r="K41" s="155"/>
      <c r="L41" s="44">
        <f t="shared" si="5"/>
        <v>3119.5980000000004</v>
      </c>
      <c r="M41" s="44">
        <f t="shared" si="8"/>
        <v>1819.5980000000002</v>
      </c>
      <c r="N41" s="44" t="str">
        <f t="shared" si="4"/>
        <v>Cr</v>
      </c>
      <c r="O41" s="44"/>
    </row>
    <row r="42" spans="1:15">
      <c r="A42" s="96" t="s">
        <v>157</v>
      </c>
      <c r="B42" s="93">
        <v>6.3</v>
      </c>
      <c r="C42" s="93">
        <v>9.4</v>
      </c>
      <c r="D42" s="93">
        <v>3</v>
      </c>
      <c r="E42" s="24">
        <f t="shared" si="1"/>
        <v>78.55</v>
      </c>
      <c r="F42" s="93">
        <f t="shared" si="0"/>
        <v>235.64999999999998</v>
      </c>
      <c r="G42" s="93" t="s">
        <v>120</v>
      </c>
      <c r="H42" s="20"/>
      <c r="I42" s="20"/>
      <c r="J42" s="62" t="s">
        <v>157</v>
      </c>
      <c r="K42" s="155"/>
      <c r="L42" s="44">
        <f t="shared" si="5"/>
        <v>3355.2480000000005</v>
      </c>
      <c r="M42" s="44">
        <f t="shared" si="8"/>
        <v>2055.248</v>
      </c>
      <c r="N42" s="44" t="str">
        <f t="shared" si="4"/>
        <v>Cr</v>
      </c>
      <c r="O42" s="44"/>
    </row>
    <row r="43" spans="1:15">
      <c r="A43" s="96" t="s">
        <v>158</v>
      </c>
      <c r="B43" s="93">
        <v>6.6</v>
      </c>
      <c r="C43" s="93">
        <v>9.4</v>
      </c>
      <c r="D43" s="93">
        <v>2</v>
      </c>
      <c r="E43" s="24">
        <f t="shared" si="1"/>
        <v>80.5</v>
      </c>
      <c r="F43" s="93">
        <f t="shared" si="0"/>
        <v>161</v>
      </c>
      <c r="G43" s="93" t="s">
        <v>120</v>
      </c>
      <c r="H43" s="20"/>
      <c r="I43" s="20"/>
      <c r="J43" s="62" t="s">
        <v>158</v>
      </c>
      <c r="K43" s="44">
        <v>2200</v>
      </c>
      <c r="L43" s="44">
        <f t="shared" si="5"/>
        <v>3516.2480000000005</v>
      </c>
      <c r="M43" s="44">
        <f t="shared" si="8"/>
        <v>16.248000000000047</v>
      </c>
      <c r="N43" s="44" t="str">
        <f t="shared" si="4"/>
        <v>Cr</v>
      </c>
      <c r="O43" s="44"/>
    </row>
    <row r="44" spans="1:15">
      <c r="A44" s="66" t="s">
        <v>159</v>
      </c>
      <c r="B44" s="68"/>
      <c r="C44" s="68"/>
      <c r="D44" s="68"/>
      <c r="E44" s="68">
        <f t="shared" si="1"/>
        <v>0</v>
      </c>
      <c r="F44" s="68">
        <f t="shared" si="0"/>
        <v>0</v>
      </c>
      <c r="G44" s="68" t="s">
        <v>155</v>
      </c>
      <c r="H44" s="20"/>
      <c r="I44" s="20"/>
      <c r="J44" s="62" t="s">
        <v>159</v>
      </c>
      <c r="K44" s="44"/>
      <c r="L44" s="44">
        <f t="shared" si="5"/>
        <v>3516.2480000000005</v>
      </c>
      <c r="M44" s="44">
        <f t="shared" si="8"/>
        <v>16.248000000000047</v>
      </c>
      <c r="N44" s="44"/>
      <c r="O44" s="44"/>
    </row>
    <row r="45" spans="1:15">
      <c r="A45" s="96" t="s">
        <v>160</v>
      </c>
      <c r="B45" s="93">
        <v>6.4</v>
      </c>
      <c r="C45" s="93">
        <v>9.6</v>
      </c>
      <c r="D45" s="93">
        <v>2.5</v>
      </c>
      <c r="E45" s="24">
        <f t="shared" si="1"/>
        <v>80</v>
      </c>
      <c r="F45" s="93">
        <f t="shared" si="0"/>
        <v>200</v>
      </c>
      <c r="G45" s="93" t="s">
        <v>120</v>
      </c>
      <c r="H45" s="20"/>
      <c r="I45" s="20"/>
      <c r="J45" s="62" t="s">
        <v>160</v>
      </c>
      <c r="K45" s="44"/>
      <c r="L45" s="44">
        <f t="shared" si="5"/>
        <v>3716.2480000000005</v>
      </c>
      <c r="M45" s="44">
        <f t="shared" si="8"/>
        <v>216.24800000000005</v>
      </c>
      <c r="N45" s="44"/>
      <c r="O45" s="44"/>
    </row>
    <row r="46" spans="1:15">
      <c r="A46" s="96" t="s">
        <v>161</v>
      </c>
      <c r="B46" s="93">
        <v>5.7</v>
      </c>
      <c r="C46" s="93">
        <v>9.5</v>
      </c>
      <c r="D46" s="93">
        <v>3.1</v>
      </c>
      <c r="E46" s="24">
        <f t="shared" si="1"/>
        <v>75.050000000000011</v>
      </c>
      <c r="F46" s="93">
        <f t="shared" si="0"/>
        <v>232.65500000000003</v>
      </c>
      <c r="G46" s="93" t="s">
        <v>120</v>
      </c>
      <c r="H46" s="20"/>
      <c r="I46" s="20"/>
      <c r="J46" s="62" t="s">
        <v>161</v>
      </c>
      <c r="K46" s="44"/>
      <c r="L46" s="44">
        <f t="shared" si="5"/>
        <v>3948.9030000000007</v>
      </c>
      <c r="M46" s="44">
        <f t="shared" si="8"/>
        <v>448.90300000000008</v>
      </c>
      <c r="N46" s="44"/>
      <c r="O46" s="44"/>
    </row>
    <row r="47" spans="1:15">
      <c r="A47" s="66" t="s">
        <v>162</v>
      </c>
      <c r="B47" s="156"/>
      <c r="C47" s="156"/>
      <c r="D47" s="156"/>
      <c r="E47" s="68">
        <f t="shared" si="1"/>
        <v>0</v>
      </c>
      <c r="F47" s="68">
        <f t="shared" si="0"/>
        <v>0</v>
      </c>
      <c r="G47" s="68" t="s">
        <v>155</v>
      </c>
      <c r="H47" s="20"/>
      <c r="I47" s="20"/>
      <c r="J47" s="79" t="s">
        <v>162</v>
      </c>
      <c r="K47" s="86"/>
      <c r="L47" s="44">
        <f t="shared" si="5"/>
        <v>3948.9030000000007</v>
      </c>
      <c r="M47" s="44">
        <f t="shared" si="8"/>
        <v>448.90300000000008</v>
      </c>
      <c r="N47" s="86"/>
      <c r="O47" s="86"/>
    </row>
    <row r="48" spans="1:15">
      <c r="A48" s="157" t="s">
        <v>163</v>
      </c>
      <c r="B48" s="44">
        <v>7.8</v>
      </c>
      <c r="C48" s="44">
        <v>8.9</v>
      </c>
      <c r="D48" s="44">
        <v>3</v>
      </c>
      <c r="E48" s="24">
        <f t="shared" si="1"/>
        <v>86.3</v>
      </c>
      <c r="F48" s="93">
        <f t="shared" si="0"/>
        <v>258.89999999999998</v>
      </c>
      <c r="G48" s="93" t="s">
        <v>120</v>
      </c>
      <c r="J48" s="157" t="s">
        <v>163</v>
      </c>
      <c r="K48" s="44"/>
      <c r="L48" s="44">
        <f t="shared" si="5"/>
        <v>4207.8030000000008</v>
      </c>
      <c r="M48" s="44">
        <f t="shared" si="8"/>
        <v>707.80300000000011</v>
      </c>
      <c r="N48" s="44"/>
      <c r="O48" s="44"/>
    </row>
    <row r="49" spans="1:15">
      <c r="A49" s="157" t="s">
        <v>164</v>
      </c>
      <c r="B49" s="44">
        <v>5.6</v>
      </c>
      <c r="C49" s="44">
        <v>7.8</v>
      </c>
      <c r="D49" s="44">
        <v>2</v>
      </c>
      <c r="E49" s="24">
        <f t="shared" si="1"/>
        <v>67.599999999999994</v>
      </c>
      <c r="F49" s="93">
        <f t="shared" si="0"/>
        <v>135.19999999999999</v>
      </c>
      <c r="G49" s="93" t="s">
        <v>120</v>
      </c>
      <c r="J49" s="157" t="s">
        <v>164</v>
      </c>
      <c r="K49" s="44"/>
      <c r="L49" s="44">
        <f t="shared" si="5"/>
        <v>4343.0030000000006</v>
      </c>
      <c r="M49" s="44">
        <f t="shared" si="8"/>
        <v>843.00300000000016</v>
      </c>
      <c r="N49" s="44"/>
      <c r="O49" s="44"/>
    </row>
    <row r="50" spans="1:15">
      <c r="A50" s="157" t="s">
        <v>165</v>
      </c>
      <c r="B50" s="44">
        <v>6.5</v>
      </c>
      <c r="C50" s="44">
        <v>9.9</v>
      </c>
      <c r="D50" s="44">
        <v>2.7</v>
      </c>
      <c r="E50" s="24">
        <f t="shared" si="1"/>
        <v>81.849999999999994</v>
      </c>
      <c r="F50" s="93">
        <f t="shared" si="0"/>
        <v>220.995</v>
      </c>
      <c r="G50" s="93" t="s">
        <v>120</v>
      </c>
      <c r="J50" s="157" t="s">
        <v>165</v>
      </c>
      <c r="K50" s="44"/>
      <c r="L50" s="44">
        <f t="shared" si="5"/>
        <v>4563.9980000000005</v>
      </c>
      <c r="M50" s="44">
        <f t="shared" si="8"/>
        <v>1063.998</v>
      </c>
      <c r="N50" s="44"/>
      <c r="O50" s="44"/>
    </row>
    <row r="51" spans="1:15">
      <c r="A51" s="157" t="s">
        <v>166</v>
      </c>
      <c r="B51" s="44">
        <v>6.5</v>
      </c>
      <c r="C51" s="44">
        <v>8.6</v>
      </c>
      <c r="D51" s="44">
        <v>2.7</v>
      </c>
      <c r="E51" s="24">
        <f t="shared" si="1"/>
        <v>76.650000000000006</v>
      </c>
      <c r="F51" s="93">
        <f t="shared" si="0"/>
        <v>206.95500000000004</v>
      </c>
      <c r="G51" s="93" t="s">
        <v>120</v>
      </c>
      <c r="J51" s="157" t="s">
        <v>166</v>
      </c>
      <c r="K51" s="44"/>
      <c r="L51" s="44">
        <f t="shared" si="5"/>
        <v>4770.9530000000004</v>
      </c>
      <c r="M51" s="44">
        <f t="shared" si="8"/>
        <v>1270.953</v>
      </c>
      <c r="N51" s="44"/>
      <c r="O51" s="44"/>
    </row>
    <row r="52" spans="1:15">
      <c r="A52" s="158" t="s">
        <v>167</v>
      </c>
      <c r="B52" s="159"/>
      <c r="C52" s="159"/>
      <c r="D52" s="159"/>
      <c r="E52" s="68">
        <f t="shared" si="1"/>
        <v>0</v>
      </c>
      <c r="F52" s="68">
        <f t="shared" si="0"/>
        <v>0</v>
      </c>
      <c r="G52" s="68" t="s">
        <v>155</v>
      </c>
      <c r="J52" s="157" t="s">
        <v>167</v>
      </c>
      <c r="K52" s="44"/>
      <c r="L52" s="44">
        <f t="shared" si="5"/>
        <v>4770.9530000000004</v>
      </c>
      <c r="M52" s="44">
        <f t="shared" si="8"/>
        <v>1270.953</v>
      </c>
      <c r="N52" s="44"/>
      <c r="O52" s="44"/>
    </row>
    <row r="53" spans="1:15">
      <c r="A53" s="157" t="s">
        <v>168</v>
      </c>
      <c r="B53" s="44">
        <v>6</v>
      </c>
      <c r="C53" s="44">
        <v>9</v>
      </c>
      <c r="D53" s="44">
        <v>1.5</v>
      </c>
      <c r="E53" s="188">
        <f t="shared" si="1"/>
        <v>75</v>
      </c>
      <c r="F53" s="188">
        <f t="shared" si="0"/>
        <v>112.5</v>
      </c>
      <c r="G53" s="93" t="s">
        <v>120</v>
      </c>
      <c r="J53" s="157" t="s">
        <v>168</v>
      </c>
      <c r="K53" s="44"/>
      <c r="L53" s="44">
        <f t="shared" si="5"/>
        <v>4883.4530000000004</v>
      </c>
      <c r="M53" s="44">
        <f t="shared" si="8"/>
        <v>1383.453</v>
      </c>
      <c r="N53" s="44"/>
      <c r="O53" s="44"/>
    </row>
    <row r="54" spans="1:15">
      <c r="A54" s="157" t="s">
        <v>256</v>
      </c>
      <c r="B54" s="44">
        <v>6.6</v>
      </c>
      <c r="C54" s="44">
        <v>9.5</v>
      </c>
      <c r="D54" s="44">
        <v>3.2</v>
      </c>
      <c r="E54" s="188">
        <f t="shared" si="1"/>
        <v>80.900000000000006</v>
      </c>
      <c r="F54" s="188">
        <f t="shared" si="0"/>
        <v>258.88000000000005</v>
      </c>
      <c r="G54" s="44"/>
      <c r="J54" s="157" t="s">
        <v>256</v>
      </c>
      <c r="K54" s="44"/>
      <c r="L54" s="44">
        <f t="shared" si="5"/>
        <v>5142.3330000000005</v>
      </c>
      <c r="M54" s="44">
        <f t="shared" si="8"/>
        <v>1642.3330000000001</v>
      </c>
      <c r="N54" s="44"/>
      <c r="O54" s="44"/>
    </row>
    <row r="55" spans="1:15">
      <c r="A55" s="157" t="s">
        <v>257</v>
      </c>
      <c r="B55" s="44">
        <v>7.1</v>
      </c>
      <c r="C55" s="44">
        <v>9.3000000000000007</v>
      </c>
      <c r="D55" s="44">
        <v>3.2</v>
      </c>
      <c r="E55" s="188">
        <f t="shared" si="1"/>
        <v>83.35</v>
      </c>
      <c r="F55" s="188">
        <f t="shared" si="0"/>
        <v>266.71999999999997</v>
      </c>
      <c r="G55" s="44"/>
      <c r="J55" s="157" t="s">
        <v>257</v>
      </c>
      <c r="K55" s="44"/>
      <c r="L55" s="44">
        <f t="shared" si="5"/>
        <v>5409.0530000000008</v>
      </c>
      <c r="M55" s="44">
        <f t="shared" si="8"/>
        <v>1909.0530000000001</v>
      </c>
      <c r="N55" s="44"/>
      <c r="O55" s="44"/>
    </row>
    <row r="56" spans="1:15">
      <c r="A56" s="157" t="s">
        <v>258</v>
      </c>
      <c r="B56" s="44">
        <v>7.5</v>
      </c>
      <c r="C56" s="44">
        <v>9.4</v>
      </c>
      <c r="D56" s="44">
        <v>2.2999999999999998</v>
      </c>
      <c r="E56" s="188">
        <f t="shared" si="1"/>
        <v>86.35</v>
      </c>
      <c r="F56" s="188">
        <f t="shared" si="0"/>
        <v>198.60499999999996</v>
      </c>
      <c r="G56" s="44"/>
      <c r="J56" s="157" t="s">
        <v>258</v>
      </c>
      <c r="K56" s="44"/>
      <c r="L56" s="44">
        <f t="shared" si="5"/>
        <v>5607.6580000000004</v>
      </c>
      <c r="M56" s="44">
        <f t="shared" si="8"/>
        <v>2107.6579999999999</v>
      </c>
      <c r="N56" s="44"/>
      <c r="O56" s="44"/>
    </row>
    <row r="57" spans="1:15">
      <c r="A57" s="157" t="s">
        <v>259</v>
      </c>
      <c r="B57" s="44">
        <v>5.3</v>
      </c>
      <c r="C57" s="44">
        <v>7.6</v>
      </c>
      <c r="D57" s="44">
        <v>2.6</v>
      </c>
      <c r="E57" s="188">
        <f t="shared" si="1"/>
        <v>64.849999999999994</v>
      </c>
      <c r="F57" s="188">
        <f t="shared" si="0"/>
        <v>168.60999999999999</v>
      </c>
      <c r="G57" s="44"/>
      <c r="J57" s="157" t="s">
        <v>259</v>
      </c>
      <c r="K57" s="44">
        <v>2276</v>
      </c>
      <c r="L57" s="44">
        <f t="shared" si="5"/>
        <v>5776.268</v>
      </c>
      <c r="M57" s="44">
        <f t="shared" si="8"/>
        <v>0.2680000000000291</v>
      </c>
      <c r="N57" s="44"/>
      <c r="O57" s="44"/>
    </row>
    <row r="58" spans="1:15">
      <c r="A58" s="157" t="s">
        <v>260</v>
      </c>
      <c r="B58" s="44"/>
      <c r="C58" s="44"/>
      <c r="D58" s="44"/>
      <c r="E58" s="44"/>
      <c r="F58" s="44"/>
      <c r="G58" s="44"/>
      <c r="J58" s="157" t="s">
        <v>260</v>
      </c>
      <c r="K58" s="44"/>
      <c r="L58" s="44"/>
      <c r="M58" s="44"/>
      <c r="N58" s="44"/>
      <c r="O58" s="44"/>
    </row>
    <row r="59" spans="1:15">
      <c r="A59" s="157" t="s">
        <v>261</v>
      </c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262</v>
      </c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263</v>
      </c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264</v>
      </c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265</v>
      </c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266</v>
      </c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267</v>
      </c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268</v>
      </c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269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270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25" display="Bas18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237</v>
      </c>
      <c r="B3" s="51"/>
      <c r="C3" s="51"/>
      <c r="F3" s="52" t="s">
        <v>106</v>
      </c>
      <c r="G3" s="53">
        <v>9849261497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175" t="s">
        <v>61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2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3174.1159999999995</v>
      </c>
      <c r="R8" s="44">
        <f>SUM(K8:K48)</f>
        <v>1000</v>
      </c>
      <c r="S8" s="44">
        <f>(Q8-R8)</f>
        <v>2174.1159999999995</v>
      </c>
      <c r="T8" s="44">
        <f>SUM(D8:D47)</f>
        <v>40.700000000000003</v>
      </c>
      <c r="U8" s="44"/>
    </row>
    <row r="9" spans="1:21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2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ref="L23:L53" si="5">(L22+F23)</f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5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5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5"/>
        <v>0</v>
      </c>
      <c r="M26" s="44">
        <f t="shared" ref="M26" si="6">(M25+F26-K26)</f>
        <v>0</v>
      </c>
      <c r="N26" s="44"/>
      <c r="O26" s="44"/>
    </row>
    <row r="27" spans="1:21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5"/>
        <v>0</v>
      </c>
      <c r="M27" s="44">
        <f t="shared" ref="M27:M39" si="7">(M26+F27-K27)</f>
        <v>0</v>
      </c>
      <c r="N27" s="44"/>
      <c r="O27" s="44"/>
    </row>
    <row r="28" spans="1:21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5"/>
        <v>0</v>
      </c>
      <c r="M28" s="44">
        <f t="shared" si="7"/>
        <v>0</v>
      </c>
      <c r="N28" s="44"/>
      <c r="O28" s="44"/>
    </row>
    <row r="29" spans="1:21">
      <c r="A29" s="96" t="s">
        <v>143</v>
      </c>
      <c r="B29" s="93">
        <v>6.18</v>
      </c>
      <c r="C29" s="93">
        <v>8.81</v>
      </c>
      <c r="D29" s="93">
        <v>2.5</v>
      </c>
      <c r="E29" s="24">
        <f t="shared" si="1"/>
        <v>75.41</v>
      </c>
      <c r="F29" s="93">
        <f t="shared" si="0"/>
        <v>188.52499999999998</v>
      </c>
      <c r="G29" s="93" t="s">
        <v>120</v>
      </c>
      <c r="H29" s="20"/>
      <c r="I29" s="20"/>
      <c r="J29" s="62" t="s">
        <v>143</v>
      </c>
      <c r="K29" s="44"/>
      <c r="L29" s="44">
        <f t="shared" si="5"/>
        <v>188.52499999999998</v>
      </c>
      <c r="M29" s="44">
        <f t="shared" si="7"/>
        <v>188.52499999999998</v>
      </c>
      <c r="N29" s="44"/>
      <c r="O29" s="44"/>
    </row>
    <row r="30" spans="1:21">
      <c r="A30" s="96" t="s">
        <v>144</v>
      </c>
      <c r="B30" s="93">
        <v>5.29</v>
      </c>
      <c r="C30" s="93">
        <v>8.6</v>
      </c>
      <c r="D30" s="93">
        <v>2.5</v>
      </c>
      <c r="E30" s="24">
        <f t="shared" si="1"/>
        <v>68.784999999999997</v>
      </c>
      <c r="F30" s="93">
        <f t="shared" si="0"/>
        <v>171.96249999999998</v>
      </c>
      <c r="G30" s="93" t="s">
        <v>120</v>
      </c>
      <c r="H30" s="20"/>
      <c r="I30" s="20"/>
      <c r="J30" s="62" t="s">
        <v>144</v>
      </c>
      <c r="K30" s="44"/>
      <c r="L30" s="44">
        <f t="shared" si="5"/>
        <v>360.48749999999995</v>
      </c>
      <c r="M30" s="44">
        <f t="shared" si="7"/>
        <v>360.48749999999995</v>
      </c>
      <c r="N30" s="44"/>
      <c r="O30" s="44"/>
    </row>
    <row r="31" spans="1:21">
      <c r="A31" s="96" t="s">
        <v>145</v>
      </c>
      <c r="B31" s="93">
        <v>4.84</v>
      </c>
      <c r="C31" s="93">
        <v>9.44</v>
      </c>
      <c r="D31" s="93">
        <v>2.2999999999999998</v>
      </c>
      <c r="E31" s="24">
        <f t="shared" si="1"/>
        <v>69.22</v>
      </c>
      <c r="F31" s="93">
        <f t="shared" si="0"/>
        <v>159.20599999999999</v>
      </c>
      <c r="G31" s="93" t="s">
        <v>120</v>
      </c>
      <c r="H31" s="20"/>
      <c r="I31" s="20"/>
      <c r="J31" s="62" t="s">
        <v>145</v>
      </c>
      <c r="K31" s="44"/>
      <c r="L31" s="44">
        <f t="shared" si="5"/>
        <v>519.69349999999997</v>
      </c>
      <c r="M31" s="44">
        <f t="shared" si="7"/>
        <v>519.69349999999997</v>
      </c>
      <c r="N31" s="44"/>
      <c r="O31" s="44"/>
    </row>
    <row r="32" spans="1:21">
      <c r="A32" s="96" t="s">
        <v>146</v>
      </c>
      <c r="B32" s="93">
        <v>5</v>
      </c>
      <c r="C32" s="93">
        <v>6</v>
      </c>
      <c r="D32" s="93">
        <v>2.7</v>
      </c>
      <c r="E32" s="24">
        <f t="shared" si="1"/>
        <v>56.5</v>
      </c>
      <c r="F32" s="93">
        <f t="shared" si="0"/>
        <v>152.55000000000001</v>
      </c>
      <c r="G32" s="93" t="s">
        <v>120</v>
      </c>
      <c r="H32" s="20"/>
      <c r="I32" s="20"/>
      <c r="J32" s="62" t="s">
        <v>146</v>
      </c>
      <c r="K32" s="44"/>
      <c r="L32" s="44">
        <f t="shared" si="5"/>
        <v>672.24350000000004</v>
      </c>
      <c r="M32" s="44">
        <f t="shared" si="7"/>
        <v>672.24350000000004</v>
      </c>
      <c r="N32" s="44"/>
      <c r="O32" s="44"/>
    </row>
    <row r="33" spans="1:15">
      <c r="A33" s="96" t="s">
        <v>147</v>
      </c>
      <c r="B33" s="93">
        <v>5</v>
      </c>
      <c r="C33" s="93">
        <v>6</v>
      </c>
      <c r="D33" s="93">
        <v>2.7</v>
      </c>
      <c r="E33" s="24">
        <f t="shared" si="1"/>
        <v>56.5</v>
      </c>
      <c r="F33" s="93">
        <f t="shared" si="0"/>
        <v>152.55000000000001</v>
      </c>
      <c r="G33" s="93" t="s">
        <v>155</v>
      </c>
      <c r="H33" s="20"/>
      <c r="I33" s="20"/>
      <c r="J33" s="62" t="s">
        <v>147</v>
      </c>
      <c r="K33" s="44">
        <v>1000</v>
      </c>
      <c r="L33" s="44">
        <f t="shared" si="5"/>
        <v>824.79349999999999</v>
      </c>
      <c r="M33" s="44">
        <f>(M32+F33-K33)</f>
        <v>-175.20650000000001</v>
      </c>
      <c r="N33" s="44"/>
      <c r="O33" s="44"/>
    </row>
    <row r="34" spans="1:15">
      <c r="A34" s="96" t="s">
        <v>148</v>
      </c>
      <c r="B34" s="93">
        <v>5.79</v>
      </c>
      <c r="C34" s="93">
        <v>6.25</v>
      </c>
      <c r="D34" s="93">
        <v>2.4</v>
      </c>
      <c r="E34" s="24">
        <f t="shared" si="1"/>
        <v>62.634999999999998</v>
      </c>
      <c r="F34" s="93">
        <f t="shared" si="0"/>
        <v>150.32399999999998</v>
      </c>
      <c r="G34" s="93" t="s">
        <v>120</v>
      </c>
      <c r="H34" s="20"/>
      <c r="I34" s="20"/>
      <c r="J34" s="62" t="s">
        <v>148</v>
      </c>
      <c r="K34" s="44"/>
      <c r="L34" s="44">
        <f t="shared" si="5"/>
        <v>975.11749999999995</v>
      </c>
      <c r="M34" s="44">
        <f t="shared" si="7"/>
        <v>-24.882500000000022</v>
      </c>
      <c r="N34" s="44"/>
      <c r="O34" s="44"/>
    </row>
    <row r="35" spans="1:15">
      <c r="A35" s="96" t="s">
        <v>149</v>
      </c>
      <c r="B35" s="93">
        <v>5.71</v>
      </c>
      <c r="C35" s="93">
        <v>8.4700000000000006</v>
      </c>
      <c r="D35" s="93">
        <v>2.2999999999999998</v>
      </c>
      <c r="E35" s="24">
        <f t="shared" si="1"/>
        <v>70.995000000000005</v>
      </c>
      <c r="F35" s="93">
        <f t="shared" si="0"/>
        <v>163.2885</v>
      </c>
      <c r="G35" s="93" t="s">
        <v>120</v>
      </c>
      <c r="H35" s="20"/>
      <c r="I35" s="20"/>
      <c r="J35" s="62" t="s">
        <v>149</v>
      </c>
      <c r="K35" s="44"/>
      <c r="L35" s="44">
        <f t="shared" si="5"/>
        <v>1138.4059999999999</v>
      </c>
      <c r="M35" s="44">
        <f t="shared" si="7"/>
        <v>138.40599999999998</v>
      </c>
      <c r="N35" s="44"/>
      <c r="O35" s="44"/>
    </row>
    <row r="36" spans="1:15">
      <c r="A36" s="96" t="s">
        <v>150</v>
      </c>
      <c r="B36" s="93">
        <v>5.36</v>
      </c>
      <c r="C36" s="93">
        <v>7.78</v>
      </c>
      <c r="D36" s="93">
        <v>2</v>
      </c>
      <c r="E36" s="24">
        <f t="shared" si="1"/>
        <v>65.960000000000008</v>
      </c>
      <c r="F36" s="93">
        <f t="shared" si="0"/>
        <v>131.92000000000002</v>
      </c>
      <c r="G36" s="93" t="s">
        <v>120</v>
      </c>
      <c r="H36" s="20"/>
      <c r="I36" s="20"/>
      <c r="J36" s="62" t="s">
        <v>150</v>
      </c>
      <c r="K36" s="44"/>
      <c r="L36" s="44">
        <f t="shared" si="5"/>
        <v>1270.326</v>
      </c>
      <c r="M36" s="44">
        <f t="shared" si="7"/>
        <v>270.32600000000002</v>
      </c>
      <c r="N36" s="44"/>
      <c r="O36" s="44"/>
    </row>
    <row r="37" spans="1:15">
      <c r="A37" s="96" t="s">
        <v>151</v>
      </c>
      <c r="B37" s="93">
        <v>5.3</v>
      </c>
      <c r="C37" s="93">
        <v>7.8</v>
      </c>
      <c r="D37" s="93">
        <v>2.2999999999999998</v>
      </c>
      <c r="E37" s="24">
        <f t="shared" si="1"/>
        <v>65.649999999999991</v>
      </c>
      <c r="F37" s="93">
        <f t="shared" si="0"/>
        <v>150.99499999999998</v>
      </c>
      <c r="G37" s="93" t="s">
        <v>120</v>
      </c>
      <c r="H37" s="20"/>
      <c r="I37" s="20"/>
      <c r="J37" s="62" t="s">
        <v>151</v>
      </c>
      <c r="K37" s="44"/>
      <c r="L37" s="44">
        <f t="shared" si="5"/>
        <v>1421.3209999999999</v>
      </c>
      <c r="M37" s="44">
        <f t="shared" si="7"/>
        <v>421.32100000000003</v>
      </c>
      <c r="N37" s="44"/>
      <c r="O37" s="44"/>
    </row>
    <row r="38" spans="1:15">
      <c r="A38" s="96" t="s">
        <v>152</v>
      </c>
      <c r="B38" s="93">
        <v>4.4000000000000004</v>
      </c>
      <c r="C38" s="93">
        <v>5.7</v>
      </c>
      <c r="D38" s="93">
        <v>2.2000000000000002</v>
      </c>
      <c r="E38" s="24">
        <f t="shared" si="1"/>
        <v>51.400000000000006</v>
      </c>
      <c r="F38" s="93">
        <f t="shared" si="0"/>
        <v>113.08000000000003</v>
      </c>
      <c r="G38" s="93" t="s">
        <v>120</v>
      </c>
      <c r="H38" s="20"/>
      <c r="I38" s="20"/>
      <c r="J38" s="62" t="s">
        <v>152</v>
      </c>
      <c r="K38" s="44"/>
      <c r="L38" s="44">
        <f t="shared" si="5"/>
        <v>1534.4009999999998</v>
      </c>
      <c r="M38" s="44">
        <f t="shared" si="7"/>
        <v>534.40100000000007</v>
      </c>
      <c r="N38" s="44"/>
      <c r="O38" s="44"/>
    </row>
    <row r="39" spans="1:15">
      <c r="A39" s="96" t="s">
        <v>153</v>
      </c>
      <c r="B39" s="93">
        <v>4.8</v>
      </c>
      <c r="C39" s="93">
        <v>6.8</v>
      </c>
      <c r="D39" s="93">
        <v>2.1</v>
      </c>
      <c r="E39" s="93">
        <f t="shared" si="1"/>
        <v>58.4</v>
      </c>
      <c r="F39" s="93">
        <f t="shared" si="0"/>
        <v>122.64</v>
      </c>
      <c r="G39" s="93" t="s">
        <v>120</v>
      </c>
      <c r="H39" s="20"/>
      <c r="I39" s="20"/>
      <c r="J39" s="62" t="s">
        <v>153</v>
      </c>
      <c r="K39" s="44"/>
      <c r="L39" s="44">
        <f t="shared" si="5"/>
        <v>1657.0409999999999</v>
      </c>
      <c r="M39" s="44">
        <f t="shared" si="7"/>
        <v>657.04100000000005</v>
      </c>
      <c r="N39" s="44"/>
      <c r="O39" s="44"/>
    </row>
    <row r="40" spans="1:15">
      <c r="A40" s="96" t="s">
        <v>154</v>
      </c>
      <c r="B40" s="93">
        <v>6.3</v>
      </c>
      <c r="C40" s="93">
        <v>8.6</v>
      </c>
      <c r="D40" s="93">
        <v>2.1</v>
      </c>
      <c r="E40" s="24">
        <f t="shared" si="1"/>
        <v>75.349999999999994</v>
      </c>
      <c r="F40" s="93">
        <f t="shared" si="0"/>
        <v>158.23499999999999</v>
      </c>
      <c r="G40" s="93" t="s">
        <v>120</v>
      </c>
      <c r="H40" s="20"/>
      <c r="I40" s="20"/>
      <c r="J40" s="62" t="s">
        <v>154</v>
      </c>
      <c r="K40" s="44"/>
      <c r="L40" s="44">
        <f t="shared" si="5"/>
        <v>1815.2759999999998</v>
      </c>
      <c r="M40" s="44">
        <f t="shared" ref="M40:M53" si="8">(M39+F40-K40)</f>
        <v>815.27600000000007</v>
      </c>
      <c r="N40" s="44"/>
      <c r="O40" s="44"/>
    </row>
    <row r="41" spans="1:15">
      <c r="A41" s="96" t="s">
        <v>156</v>
      </c>
      <c r="B41" s="93">
        <v>4.5999999999999996</v>
      </c>
      <c r="C41" s="93">
        <v>7.3</v>
      </c>
      <c r="D41" s="93">
        <v>1</v>
      </c>
      <c r="E41" s="24">
        <f t="shared" si="1"/>
        <v>59.099999999999994</v>
      </c>
      <c r="F41" s="93">
        <f t="shared" si="0"/>
        <v>59.099999999999994</v>
      </c>
      <c r="G41" s="93" t="s">
        <v>120</v>
      </c>
      <c r="H41" s="20"/>
      <c r="I41" s="20"/>
      <c r="J41" s="62" t="s">
        <v>156</v>
      </c>
      <c r="K41" s="155"/>
      <c r="L41" s="44">
        <f t="shared" si="5"/>
        <v>1874.3759999999997</v>
      </c>
      <c r="M41" s="44">
        <f t="shared" si="8"/>
        <v>874.37600000000009</v>
      </c>
      <c r="N41" s="44"/>
      <c r="O41" s="44"/>
    </row>
    <row r="42" spans="1:15">
      <c r="A42" s="96" t="s">
        <v>157</v>
      </c>
      <c r="B42" s="93">
        <v>4.5</v>
      </c>
      <c r="C42" s="93">
        <v>5.2</v>
      </c>
      <c r="D42" s="93">
        <v>2.2000000000000002</v>
      </c>
      <c r="E42" s="24">
        <f t="shared" si="1"/>
        <v>50.05</v>
      </c>
      <c r="F42" s="93">
        <f t="shared" si="0"/>
        <v>110.11</v>
      </c>
      <c r="G42" s="93" t="s">
        <v>120</v>
      </c>
      <c r="H42" s="20"/>
      <c r="I42" s="20"/>
      <c r="J42" s="62" t="s">
        <v>157</v>
      </c>
      <c r="K42" s="155"/>
      <c r="L42" s="44">
        <f t="shared" si="5"/>
        <v>1984.4859999999996</v>
      </c>
      <c r="M42" s="44">
        <f t="shared" si="8"/>
        <v>984.4860000000001</v>
      </c>
      <c r="N42" s="44"/>
      <c r="O42" s="44"/>
    </row>
    <row r="43" spans="1:15">
      <c r="A43" s="96" t="s">
        <v>158</v>
      </c>
      <c r="B43" s="93">
        <v>4.2</v>
      </c>
      <c r="C43" s="93">
        <v>5.8</v>
      </c>
      <c r="D43" s="93">
        <v>2.4</v>
      </c>
      <c r="E43" s="24">
        <f t="shared" si="1"/>
        <v>50.5</v>
      </c>
      <c r="F43" s="93">
        <f t="shared" si="0"/>
        <v>121.19999999999999</v>
      </c>
      <c r="G43" s="93" t="s">
        <v>120</v>
      </c>
      <c r="H43" s="20"/>
      <c r="I43" s="20"/>
      <c r="J43" s="62" t="s">
        <v>158</v>
      </c>
      <c r="K43" s="44"/>
      <c r="L43" s="44">
        <f t="shared" si="5"/>
        <v>2105.6859999999997</v>
      </c>
      <c r="M43" s="44">
        <f t="shared" si="8"/>
        <v>1105.6860000000001</v>
      </c>
      <c r="N43" s="44"/>
      <c r="O43" s="44"/>
    </row>
    <row r="44" spans="1:15">
      <c r="A44" s="96" t="s">
        <v>159</v>
      </c>
      <c r="B44" s="93">
        <v>5.7</v>
      </c>
      <c r="C44" s="93">
        <v>7.6</v>
      </c>
      <c r="D44" s="93">
        <v>2.1</v>
      </c>
      <c r="E44" s="24">
        <f t="shared" si="1"/>
        <v>67.45</v>
      </c>
      <c r="F44" s="93">
        <f t="shared" si="0"/>
        <v>141.64500000000001</v>
      </c>
      <c r="G44" s="93" t="s">
        <v>120</v>
      </c>
      <c r="H44" s="20"/>
      <c r="I44" s="20"/>
      <c r="J44" s="62" t="s">
        <v>159</v>
      </c>
      <c r="K44" s="44"/>
      <c r="L44" s="44">
        <f t="shared" si="5"/>
        <v>2247.3309999999997</v>
      </c>
      <c r="M44" s="44">
        <f t="shared" si="8"/>
        <v>1247.3310000000001</v>
      </c>
      <c r="N44" s="44"/>
      <c r="O44" s="44"/>
    </row>
    <row r="45" spans="1:15">
      <c r="A45" s="66" t="s">
        <v>160</v>
      </c>
      <c r="B45" s="68"/>
      <c r="C45" s="68"/>
      <c r="D45" s="68"/>
      <c r="E45" s="68">
        <f t="shared" si="1"/>
        <v>0</v>
      </c>
      <c r="F45" s="68">
        <f t="shared" si="0"/>
        <v>0</v>
      </c>
      <c r="G45" s="68" t="s">
        <v>155</v>
      </c>
      <c r="H45" s="20"/>
      <c r="I45" s="20"/>
      <c r="J45" s="62" t="s">
        <v>160</v>
      </c>
      <c r="K45" s="44"/>
      <c r="L45" s="44">
        <f t="shared" si="5"/>
        <v>2247.3309999999997</v>
      </c>
      <c r="M45" s="44">
        <f t="shared" si="8"/>
        <v>1247.3310000000001</v>
      </c>
      <c r="N45" s="44"/>
      <c r="O45" s="44"/>
    </row>
    <row r="46" spans="1:15">
      <c r="A46" s="96" t="s">
        <v>161</v>
      </c>
      <c r="B46" s="93">
        <v>4.5</v>
      </c>
      <c r="C46" s="93">
        <v>5.3</v>
      </c>
      <c r="D46" s="93">
        <v>2.5</v>
      </c>
      <c r="E46" s="24">
        <f t="shared" si="1"/>
        <v>50.45</v>
      </c>
      <c r="F46" s="93">
        <f t="shared" si="0"/>
        <v>126.125</v>
      </c>
      <c r="G46" s="93" t="s">
        <v>120</v>
      </c>
      <c r="H46" s="20"/>
      <c r="I46" s="20"/>
      <c r="J46" s="62" t="s">
        <v>161</v>
      </c>
      <c r="K46" s="44"/>
      <c r="L46" s="44">
        <f t="shared" si="5"/>
        <v>2373.4559999999997</v>
      </c>
      <c r="M46" s="44">
        <f t="shared" si="8"/>
        <v>1373.4560000000001</v>
      </c>
      <c r="N46" s="44"/>
      <c r="O46" s="44"/>
    </row>
    <row r="47" spans="1:15">
      <c r="A47" s="96" t="s">
        <v>162</v>
      </c>
      <c r="B47" s="99">
        <v>5.6</v>
      </c>
      <c r="C47" s="99">
        <v>8</v>
      </c>
      <c r="D47" s="99">
        <v>2.4</v>
      </c>
      <c r="E47" s="24">
        <f t="shared" si="1"/>
        <v>68.400000000000006</v>
      </c>
      <c r="F47" s="93">
        <f t="shared" si="0"/>
        <v>164.16</v>
      </c>
      <c r="G47" s="93" t="s">
        <v>120</v>
      </c>
      <c r="H47" s="20"/>
      <c r="I47" s="20"/>
      <c r="J47" s="79" t="s">
        <v>162</v>
      </c>
      <c r="K47" s="86"/>
      <c r="L47" s="44">
        <f t="shared" si="5"/>
        <v>2537.6159999999995</v>
      </c>
      <c r="M47" s="44">
        <f t="shared" si="8"/>
        <v>1537.6160000000002</v>
      </c>
      <c r="N47" s="86"/>
      <c r="O47" s="86"/>
    </row>
    <row r="48" spans="1:15">
      <c r="A48" s="157" t="s">
        <v>163</v>
      </c>
      <c r="B48" s="44">
        <v>5.7</v>
      </c>
      <c r="C48" s="44">
        <v>7.8</v>
      </c>
      <c r="D48" s="44">
        <v>2.4</v>
      </c>
      <c r="E48" s="24">
        <f t="shared" si="1"/>
        <v>68.25</v>
      </c>
      <c r="F48" s="93">
        <f t="shared" si="0"/>
        <v>163.79999999999998</v>
      </c>
      <c r="G48" s="93" t="s">
        <v>120</v>
      </c>
      <c r="J48" s="157" t="s">
        <v>163</v>
      </c>
      <c r="K48" s="44"/>
      <c r="L48" s="44">
        <f t="shared" si="5"/>
        <v>2701.4159999999997</v>
      </c>
      <c r="M48" s="44">
        <f t="shared" si="8"/>
        <v>1701.4160000000002</v>
      </c>
      <c r="N48" s="44"/>
      <c r="O48" s="44"/>
    </row>
    <row r="49" spans="1:15">
      <c r="A49" s="157" t="s">
        <v>164</v>
      </c>
      <c r="B49" s="44">
        <v>4.5</v>
      </c>
      <c r="C49" s="44">
        <v>5.5</v>
      </c>
      <c r="D49" s="44">
        <v>2.1</v>
      </c>
      <c r="E49" s="24">
        <f t="shared" si="1"/>
        <v>51.25</v>
      </c>
      <c r="F49" s="93">
        <f t="shared" si="0"/>
        <v>107.625</v>
      </c>
      <c r="G49" s="93" t="s">
        <v>120</v>
      </c>
      <c r="J49" s="157" t="s">
        <v>164</v>
      </c>
      <c r="K49" s="44"/>
      <c r="L49" s="44">
        <f t="shared" si="5"/>
        <v>2809.0409999999997</v>
      </c>
      <c r="M49" s="44">
        <f t="shared" si="8"/>
        <v>1809.0410000000002</v>
      </c>
      <c r="N49" s="44"/>
      <c r="O49" s="44"/>
    </row>
    <row r="50" spans="1:15">
      <c r="A50" s="157" t="s">
        <v>165</v>
      </c>
      <c r="B50" s="44">
        <v>5.9</v>
      </c>
      <c r="C50" s="44">
        <v>8.8000000000000007</v>
      </c>
      <c r="D50" s="44">
        <v>2.2999999999999998</v>
      </c>
      <c r="E50" s="24">
        <f t="shared" si="1"/>
        <v>73.550000000000011</v>
      </c>
      <c r="F50" s="93">
        <f t="shared" si="0"/>
        <v>169.16500000000002</v>
      </c>
      <c r="G50" s="93" t="s">
        <v>120</v>
      </c>
      <c r="J50" s="157" t="s">
        <v>165</v>
      </c>
      <c r="K50" s="44"/>
      <c r="L50" s="44">
        <f t="shared" si="5"/>
        <v>2978.2059999999997</v>
      </c>
      <c r="M50" s="44">
        <f t="shared" si="8"/>
        <v>1978.2060000000001</v>
      </c>
      <c r="N50" s="44"/>
      <c r="O50" s="44"/>
    </row>
    <row r="51" spans="1:15">
      <c r="A51" s="157" t="s">
        <v>166</v>
      </c>
      <c r="B51" s="44">
        <v>4</v>
      </c>
      <c r="C51" s="44">
        <v>5</v>
      </c>
      <c r="D51" s="44">
        <v>2.2000000000000002</v>
      </c>
      <c r="E51" s="24">
        <f t="shared" si="1"/>
        <v>46</v>
      </c>
      <c r="F51" s="93">
        <f t="shared" si="0"/>
        <v>101.2</v>
      </c>
      <c r="G51" s="93" t="s">
        <v>120</v>
      </c>
      <c r="J51" s="157" t="s">
        <v>166</v>
      </c>
      <c r="K51" s="44"/>
      <c r="L51" s="44">
        <f t="shared" si="5"/>
        <v>3079.4059999999995</v>
      </c>
      <c r="M51" s="44">
        <f t="shared" si="8"/>
        <v>2079.4059999999999</v>
      </c>
      <c r="N51" s="44"/>
      <c r="O51" s="44"/>
    </row>
    <row r="52" spans="1:15">
      <c r="A52" s="160" t="s">
        <v>167</v>
      </c>
      <c r="B52" s="86">
        <v>3.8</v>
      </c>
      <c r="C52" s="86">
        <v>5.0999999999999996</v>
      </c>
      <c r="D52" s="86">
        <v>2.1</v>
      </c>
      <c r="E52" s="80">
        <f t="shared" si="1"/>
        <v>45.099999999999994</v>
      </c>
      <c r="F52" s="93">
        <f t="shared" si="0"/>
        <v>94.71</v>
      </c>
      <c r="G52" s="93" t="s">
        <v>120</v>
      </c>
      <c r="J52" s="160" t="s">
        <v>167</v>
      </c>
      <c r="K52" s="86"/>
      <c r="L52" s="44">
        <f t="shared" si="5"/>
        <v>3174.1159999999995</v>
      </c>
      <c r="M52" s="44">
        <f t="shared" si="8"/>
        <v>2174.116</v>
      </c>
      <c r="N52" s="86"/>
      <c r="O52" s="86"/>
    </row>
    <row r="53" spans="1:15">
      <c r="A53" s="176" t="s">
        <v>168</v>
      </c>
      <c r="B53" s="177"/>
      <c r="C53" s="177"/>
      <c r="D53" s="177"/>
      <c r="E53" s="177">
        <f t="shared" si="1"/>
        <v>0</v>
      </c>
      <c r="F53" s="177"/>
      <c r="G53" s="177" t="s">
        <v>155</v>
      </c>
      <c r="J53" s="176" t="s">
        <v>168</v>
      </c>
      <c r="K53" s="87">
        <v>2174</v>
      </c>
      <c r="L53" s="44">
        <f t="shared" si="5"/>
        <v>3174.1159999999995</v>
      </c>
      <c r="M53" s="44">
        <f t="shared" si="8"/>
        <v>0.11599999999998545</v>
      </c>
      <c r="N53" s="87"/>
      <c r="O53" s="87"/>
    </row>
    <row r="54" spans="1:15">
      <c r="A54" s="8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</sheetData>
  <mergeCells count="1">
    <mergeCell ref="B2:G2"/>
  </mergeCells>
  <hyperlinks>
    <hyperlink ref="F5" location="'Customer Index'!A8" display="Customer Code"/>
    <hyperlink ref="G5" location="'Customer Index'!A26" display="Bas19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Normal="100" workbookViewId="0">
      <selection activeCell="G5" sqref="G5"/>
    </sheetView>
  </sheetViews>
  <sheetFormatPr defaultColWidth="14.109375" defaultRowHeight="14.4"/>
  <cols>
    <col min="1" max="1" width="14.332031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238</v>
      </c>
      <c r="B3" s="51"/>
      <c r="C3" s="51"/>
      <c r="F3" s="52" t="s">
        <v>106</v>
      </c>
      <c r="G3" s="53">
        <v>9849261497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175" t="s">
        <v>63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2400.3500000000004</v>
      </c>
      <c r="R8" s="44">
        <f>SUM(K8:K48)</f>
        <v>1000</v>
      </c>
      <c r="S8" s="44">
        <f>(Q8-R8)</f>
        <v>1400.3500000000004</v>
      </c>
      <c r="T8" s="44">
        <f>SUM(D8:D47)</f>
        <v>27.8</v>
      </c>
      <c r="U8" s="44"/>
    </row>
    <row r="9" spans="1:21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5">(M25+F26-K26)</f>
        <v>0</v>
      </c>
      <c r="N26" s="44"/>
      <c r="O26" s="44"/>
    </row>
    <row r="27" spans="1:21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6">(M26+F27-K27)</f>
        <v>0</v>
      </c>
      <c r="N27" s="44"/>
      <c r="O27" s="44"/>
    </row>
    <row r="28" spans="1:21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6"/>
        <v>0</v>
      </c>
      <c r="N28" s="44"/>
      <c r="O28" s="44"/>
    </row>
    <row r="29" spans="1:21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6"/>
        <v>0</v>
      </c>
      <c r="N29" s="44"/>
      <c r="O29" s="44"/>
    </row>
    <row r="30" spans="1:21">
      <c r="A30" s="96" t="s">
        <v>144</v>
      </c>
      <c r="B30" s="93">
        <v>5.17</v>
      </c>
      <c r="C30" s="93">
        <v>8.75</v>
      </c>
      <c r="D30" s="93">
        <v>1.9</v>
      </c>
      <c r="E30" s="24">
        <f t="shared" si="1"/>
        <v>68.60499999999999</v>
      </c>
      <c r="F30" s="93">
        <f t="shared" si="0"/>
        <v>130.34949999999998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130.34949999999998</v>
      </c>
      <c r="M30" s="44">
        <f t="shared" si="6"/>
        <v>130.34949999999998</v>
      </c>
      <c r="N30" s="44"/>
      <c r="O30" s="44"/>
    </row>
    <row r="31" spans="1:21">
      <c r="A31" s="96" t="s">
        <v>145</v>
      </c>
      <c r="B31" s="93">
        <v>5</v>
      </c>
      <c r="C31" s="93">
        <v>9.4700000000000006</v>
      </c>
      <c r="D31" s="93">
        <v>1.6</v>
      </c>
      <c r="E31" s="24">
        <f t="shared" si="1"/>
        <v>70.38</v>
      </c>
      <c r="F31" s="93">
        <f t="shared" si="0"/>
        <v>112.608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242.95749999999998</v>
      </c>
      <c r="M31" s="44">
        <f t="shared" si="6"/>
        <v>242.95749999999998</v>
      </c>
      <c r="N31" s="44"/>
      <c r="O31" s="44"/>
    </row>
    <row r="32" spans="1:21">
      <c r="A32" s="96" t="s">
        <v>146</v>
      </c>
      <c r="B32" s="93">
        <v>5.17</v>
      </c>
      <c r="C32" s="93">
        <v>7.8</v>
      </c>
      <c r="D32" s="93">
        <v>1.2</v>
      </c>
      <c r="E32" s="24">
        <f t="shared" si="1"/>
        <v>64.804999999999993</v>
      </c>
      <c r="F32" s="93">
        <f t="shared" si="0"/>
        <v>77.765999999999991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320.72349999999994</v>
      </c>
      <c r="M32" s="44">
        <f t="shared" si="6"/>
        <v>320.72349999999994</v>
      </c>
      <c r="N32" s="44"/>
      <c r="O32" s="44"/>
    </row>
    <row r="33" spans="1:15">
      <c r="A33" s="96" t="s">
        <v>147</v>
      </c>
      <c r="B33" s="93">
        <v>5.17</v>
      </c>
      <c r="C33" s="93">
        <v>7.8</v>
      </c>
      <c r="D33" s="93">
        <v>1.7</v>
      </c>
      <c r="E33" s="24">
        <f t="shared" si="1"/>
        <v>64.804999999999993</v>
      </c>
      <c r="F33" s="93">
        <f t="shared" si="0"/>
        <v>110.16849999999998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430.89199999999994</v>
      </c>
      <c r="M33" s="44">
        <f>(M32+F33-K33)</f>
        <v>430.89199999999994</v>
      </c>
      <c r="N33" s="44"/>
      <c r="O33" s="44"/>
    </row>
    <row r="34" spans="1:15">
      <c r="A34" s="96" t="s">
        <v>148</v>
      </c>
      <c r="B34" s="93">
        <v>4.3</v>
      </c>
      <c r="C34" s="93">
        <v>5.16</v>
      </c>
      <c r="D34" s="93">
        <v>1.5</v>
      </c>
      <c r="E34" s="24">
        <f t="shared" si="1"/>
        <v>48.59</v>
      </c>
      <c r="F34" s="93">
        <f t="shared" si="0"/>
        <v>72.885000000000005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503.77699999999993</v>
      </c>
      <c r="M34" s="44">
        <f t="shared" si="6"/>
        <v>503.77699999999993</v>
      </c>
      <c r="N34" s="44"/>
      <c r="O34" s="44"/>
    </row>
    <row r="35" spans="1:15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155</v>
      </c>
      <c r="H35" s="20"/>
      <c r="I35" s="20"/>
      <c r="J35" s="62" t="s">
        <v>149</v>
      </c>
      <c r="K35" s="44"/>
      <c r="L35" s="44">
        <f t="shared" si="2"/>
        <v>503.77699999999993</v>
      </c>
      <c r="M35" s="44">
        <f t="shared" si="6"/>
        <v>503.77699999999993</v>
      </c>
      <c r="N35" s="44"/>
      <c r="O35" s="44"/>
    </row>
    <row r="36" spans="1:15">
      <c r="A36" s="96" t="s">
        <v>150</v>
      </c>
      <c r="B36" s="93">
        <v>6.01</v>
      </c>
      <c r="C36" s="93">
        <v>8.61</v>
      </c>
      <c r="D36" s="93">
        <v>1.6</v>
      </c>
      <c r="E36" s="24">
        <f t="shared" si="1"/>
        <v>73.504999999999995</v>
      </c>
      <c r="F36" s="93">
        <f t="shared" si="0"/>
        <v>117.608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621.38499999999999</v>
      </c>
      <c r="M36" s="44">
        <f t="shared" si="6"/>
        <v>621.38499999999999</v>
      </c>
      <c r="N36" s="44"/>
      <c r="O36" s="44"/>
    </row>
    <row r="37" spans="1:15">
      <c r="A37" s="96" t="s">
        <v>151</v>
      </c>
      <c r="B37" s="93">
        <v>4.3</v>
      </c>
      <c r="C37" s="93">
        <v>8</v>
      </c>
      <c r="D37" s="93">
        <v>2</v>
      </c>
      <c r="E37" s="24">
        <f t="shared" si="1"/>
        <v>59.95</v>
      </c>
      <c r="F37" s="93">
        <f t="shared" si="0"/>
        <v>119.9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741.28499999999997</v>
      </c>
      <c r="M37" s="44">
        <f t="shared" si="6"/>
        <v>741.28499999999997</v>
      </c>
      <c r="N37" s="44"/>
      <c r="O37" s="44"/>
    </row>
    <row r="38" spans="1:15">
      <c r="A38" s="96" t="s">
        <v>152</v>
      </c>
      <c r="B38" s="93">
        <v>5</v>
      </c>
      <c r="C38" s="93">
        <v>7.2</v>
      </c>
      <c r="D38" s="93">
        <v>1.6</v>
      </c>
      <c r="E38" s="24">
        <f t="shared" si="1"/>
        <v>61.3</v>
      </c>
      <c r="F38" s="93">
        <f t="shared" si="0"/>
        <v>98.08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839.36500000000001</v>
      </c>
      <c r="M38" s="44">
        <f t="shared" si="6"/>
        <v>839.36500000000001</v>
      </c>
      <c r="N38" s="44"/>
      <c r="O38" s="44"/>
    </row>
    <row r="39" spans="1:15">
      <c r="A39" s="96" t="s">
        <v>153</v>
      </c>
      <c r="B39" s="93">
        <v>5.8</v>
      </c>
      <c r="C39" s="93">
        <v>8.5</v>
      </c>
      <c r="D39" s="93">
        <v>1.5</v>
      </c>
      <c r="E39" s="93">
        <f t="shared" si="1"/>
        <v>71.699999999999989</v>
      </c>
      <c r="F39" s="93">
        <f t="shared" si="0"/>
        <v>107.54999999999998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946.91499999999996</v>
      </c>
      <c r="M39" s="44">
        <f t="shared" si="6"/>
        <v>946.91499999999996</v>
      </c>
      <c r="N39" s="44"/>
      <c r="O39" s="44"/>
    </row>
    <row r="40" spans="1:15">
      <c r="A40" s="96" t="s">
        <v>154</v>
      </c>
      <c r="B40" s="93">
        <v>6</v>
      </c>
      <c r="C40" s="93">
        <v>8.9</v>
      </c>
      <c r="D40" s="93">
        <v>1.6</v>
      </c>
      <c r="E40" s="24">
        <f t="shared" si="1"/>
        <v>74.599999999999994</v>
      </c>
      <c r="F40" s="93">
        <f t="shared" si="0"/>
        <v>119.36</v>
      </c>
      <c r="G40" s="93" t="s">
        <v>120</v>
      </c>
      <c r="H40" s="20"/>
      <c r="I40" s="20"/>
      <c r="J40" s="62" t="s">
        <v>154</v>
      </c>
      <c r="K40" s="44"/>
      <c r="L40" s="44">
        <f t="shared" si="2"/>
        <v>1066.2749999999999</v>
      </c>
      <c r="M40" s="44">
        <f t="shared" ref="M40:M53" si="7">(M39+F40-K40)</f>
        <v>1066.2749999999999</v>
      </c>
      <c r="N40" s="44"/>
      <c r="O40" s="44"/>
    </row>
    <row r="41" spans="1:15">
      <c r="A41" s="96" t="s">
        <v>156</v>
      </c>
      <c r="B41" s="93">
        <v>5.2</v>
      </c>
      <c r="C41" s="93">
        <v>8.6</v>
      </c>
      <c r="D41" s="93">
        <v>1.7</v>
      </c>
      <c r="E41" s="24">
        <f t="shared" si="1"/>
        <v>68.2</v>
      </c>
      <c r="F41" s="93">
        <f t="shared" si="0"/>
        <v>115.94</v>
      </c>
      <c r="G41" s="93" t="s">
        <v>120</v>
      </c>
      <c r="H41" s="20"/>
      <c r="I41" s="20"/>
      <c r="J41" s="62" t="s">
        <v>156</v>
      </c>
      <c r="K41" s="155"/>
      <c r="L41" s="44">
        <f t="shared" si="2"/>
        <v>1182.2149999999999</v>
      </c>
      <c r="M41" s="44">
        <f t="shared" si="7"/>
        <v>1182.2149999999999</v>
      </c>
      <c r="N41" s="44"/>
      <c r="O41" s="44"/>
    </row>
    <row r="42" spans="1:15">
      <c r="A42" s="96" t="s">
        <v>157</v>
      </c>
      <c r="B42" s="93">
        <v>5.2</v>
      </c>
      <c r="C42" s="93">
        <v>7.5</v>
      </c>
      <c r="D42" s="93">
        <v>1.7</v>
      </c>
      <c r="E42" s="24">
        <f t="shared" si="1"/>
        <v>63.800000000000004</v>
      </c>
      <c r="F42" s="93">
        <f t="shared" si="0"/>
        <v>108.46000000000001</v>
      </c>
      <c r="G42" s="93" t="s">
        <v>120</v>
      </c>
      <c r="H42" s="20"/>
      <c r="I42" s="20"/>
      <c r="J42" s="62" t="s">
        <v>157</v>
      </c>
      <c r="K42" s="155"/>
      <c r="L42" s="44">
        <f t="shared" si="2"/>
        <v>1290.675</v>
      </c>
      <c r="M42" s="44">
        <f t="shared" si="7"/>
        <v>1290.675</v>
      </c>
      <c r="N42" s="44"/>
      <c r="O42" s="44"/>
    </row>
    <row r="43" spans="1:15">
      <c r="A43" s="96" t="s">
        <v>158</v>
      </c>
      <c r="B43" s="93">
        <v>5.7</v>
      </c>
      <c r="C43" s="93">
        <v>8.3000000000000007</v>
      </c>
      <c r="D43" s="93">
        <v>1.8</v>
      </c>
      <c r="E43" s="24">
        <f t="shared" si="1"/>
        <v>70.25</v>
      </c>
      <c r="F43" s="93">
        <f t="shared" si="0"/>
        <v>126.45</v>
      </c>
      <c r="G43" s="93" t="s">
        <v>120</v>
      </c>
      <c r="H43" s="20"/>
      <c r="I43" s="20"/>
      <c r="J43" s="62" t="s">
        <v>158</v>
      </c>
      <c r="K43" s="44">
        <v>1000</v>
      </c>
      <c r="L43" s="44">
        <f t="shared" si="2"/>
        <v>1417.125</v>
      </c>
      <c r="M43" s="44">
        <f t="shared" si="7"/>
        <v>417.125</v>
      </c>
      <c r="N43" s="44"/>
      <c r="O43" s="44"/>
    </row>
    <row r="44" spans="1:15">
      <c r="A44" s="96" t="s">
        <v>159</v>
      </c>
      <c r="B44" s="93">
        <v>5.6</v>
      </c>
      <c r="C44" s="93">
        <v>8.5</v>
      </c>
      <c r="D44" s="93">
        <v>1.3</v>
      </c>
      <c r="E44" s="24">
        <f t="shared" si="1"/>
        <v>70.400000000000006</v>
      </c>
      <c r="F44" s="93">
        <f t="shared" si="0"/>
        <v>91.52000000000001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1508.645</v>
      </c>
      <c r="M44" s="44">
        <f t="shared" si="7"/>
        <v>508.64499999999998</v>
      </c>
      <c r="N44" s="44"/>
      <c r="O44" s="44"/>
    </row>
    <row r="45" spans="1:15">
      <c r="A45" s="96" t="s">
        <v>160</v>
      </c>
      <c r="B45" s="93">
        <v>5.5</v>
      </c>
      <c r="C45" s="93">
        <v>7.1</v>
      </c>
      <c r="D45" s="93">
        <v>1.2</v>
      </c>
      <c r="E45" s="24">
        <f t="shared" si="1"/>
        <v>64.150000000000006</v>
      </c>
      <c r="F45" s="93">
        <f t="shared" si="0"/>
        <v>76.98</v>
      </c>
      <c r="G45" s="93" t="s">
        <v>120</v>
      </c>
      <c r="H45" s="20"/>
      <c r="I45" s="20"/>
      <c r="J45" s="62" t="s">
        <v>160</v>
      </c>
      <c r="K45" s="44"/>
      <c r="L45" s="44">
        <f t="shared" si="2"/>
        <v>1585.625</v>
      </c>
      <c r="M45" s="44">
        <f t="shared" si="7"/>
        <v>585.625</v>
      </c>
      <c r="N45" s="44"/>
      <c r="O45" s="44"/>
    </row>
    <row r="46" spans="1:15">
      <c r="A46" s="96" t="s">
        <v>161</v>
      </c>
      <c r="B46" s="93">
        <v>4.4000000000000004</v>
      </c>
      <c r="C46" s="93">
        <v>5.2</v>
      </c>
      <c r="D46" s="93">
        <v>1.8</v>
      </c>
      <c r="E46" s="24">
        <f t="shared" si="1"/>
        <v>49.400000000000006</v>
      </c>
      <c r="F46" s="93">
        <f t="shared" si="0"/>
        <v>88.920000000000016</v>
      </c>
      <c r="G46" s="93" t="s">
        <v>120</v>
      </c>
      <c r="H46" s="20"/>
      <c r="I46" s="20"/>
      <c r="J46" s="62" t="s">
        <v>161</v>
      </c>
      <c r="K46" s="44"/>
      <c r="L46" s="44">
        <f t="shared" si="2"/>
        <v>1674.5450000000001</v>
      </c>
      <c r="M46" s="44">
        <f t="shared" si="7"/>
        <v>674.54500000000007</v>
      </c>
      <c r="N46" s="44"/>
      <c r="O46" s="44"/>
    </row>
    <row r="47" spans="1:15">
      <c r="A47" s="96" t="s">
        <v>162</v>
      </c>
      <c r="B47" s="99">
        <v>4.9000000000000004</v>
      </c>
      <c r="C47" s="99">
        <v>5.7</v>
      </c>
      <c r="D47" s="99">
        <v>2.1</v>
      </c>
      <c r="E47" s="24">
        <f t="shared" si="1"/>
        <v>54.650000000000006</v>
      </c>
      <c r="F47" s="93">
        <f t="shared" si="0"/>
        <v>114.76500000000001</v>
      </c>
      <c r="G47" s="93" t="s">
        <v>120</v>
      </c>
      <c r="H47" s="20"/>
      <c r="I47" s="20"/>
      <c r="J47" s="79" t="s">
        <v>162</v>
      </c>
      <c r="K47" s="86"/>
      <c r="L47" s="44">
        <f t="shared" si="2"/>
        <v>1789.3100000000002</v>
      </c>
      <c r="M47" s="44">
        <f t="shared" si="7"/>
        <v>789.31000000000006</v>
      </c>
      <c r="N47" s="86"/>
      <c r="O47" s="86"/>
    </row>
    <row r="48" spans="1:15">
      <c r="A48" s="157" t="s">
        <v>163</v>
      </c>
      <c r="B48" s="44">
        <v>5.3</v>
      </c>
      <c r="C48" s="44">
        <v>6.4</v>
      </c>
      <c r="D48" s="44">
        <v>1.7</v>
      </c>
      <c r="E48" s="24">
        <f t="shared" si="1"/>
        <v>60.05</v>
      </c>
      <c r="F48" s="93">
        <f t="shared" si="0"/>
        <v>102.08499999999999</v>
      </c>
      <c r="G48" s="93" t="s">
        <v>120</v>
      </c>
      <c r="J48" s="157" t="s">
        <v>163</v>
      </c>
      <c r="K48" s="44"/>
      <c r="L48" s="44">
        <f t="shared" si="2"/>
        <v>1891.3950000000002</v>
      </c>
      <c r="M48" s="44">
        <f t="shared" si="7"/>
        <v>891.3950000000001</v>
      </c>
      <c r="N48" s="44"/>
      <c r="O48" s="44"/>
    </row>
    <row r="49" spans="1:15">
      <c r="A49" s="157" t="s">
        <v>164</v>
      </c>
      <c r="B49" s="44">
        <v>5</v>
      </c>
      <c r="C49" s="44">
        <v>5.3</v>
      </c>
      <c r="D49" s="44">
        <v>1.5</v>
      </c>
      <c r="E49" s="24">
        <f t="shared" si="1"/>
        <v>53.7</v>
      </c>
      <c r="F49" s="93">
        <f t="shared" si="0"/>
        <v>80.550000000000011</v>
      </c>
      <c r="G49" s="93" t="s">
        <v>120</v>
      </c>
      <c r="J49" s="157" t="s">
        <v>164</v>
      </c>
      <c r="K49" s="44"/>
      <c r="L49" s="44">
        <f t="shared" si="2"/>
        <v>1971.9450000000002</v>
      </c>
      <c r="M49" s="44">
        <f t="shared" si="7"/>
        <v>971.94500000000016</v>
      </c>
      <c r="N49" s="44"/>
      <c r="O49" s="44"/>
    </row>
    <row r="50" spans="1:15">
      <c r="A50" s="157" t="s">
        <v>165</v>
      </c>
      <c r="B50" s="44">
        <v>6.6</v>
      </c>
      <c r="C50" s="44">
        <v>8.8000000000000007</v>
      </c>
      <c r="D50" s="44">
        <v>1.7</v>
      </c>
      <c r="E50" s="24">
        <f t="shared" si="1"/>
        <v>78.099999999999994</v>
      </c>
      <c r="F50" s="93">
        <f t="shared" si="0"/>
        <v>132.76999999999998</v>
      </c>
      <c r="G50" s="93" t="s">
        <v>120</v>
      </c>
      <c r="J50" s="157" t="s">
        <v>165</v>
      </c>
      <c r="K50" s="44"/>
      <c r="L50" s="44">
        <f t="shared" si="2"/>
        <v>2104.7150000000001</v>
      </c>
      <c r="M50" s="44">
        <f t="shared" si="7"/>
        <v>1104.7150000000001</v>
      </c>
      <c r="N50" s="44"/>
      <c r="O50" s="44"/>
    </row>
    <row r="51" spans="1:15">
      <c r="A51" s="157" t="s">
        <v>166</v>
      </c>
      <c r="B51" s="44">
        <v>5.3</v>
      </c>
      <c r="C51" s="44">
        <v>5.8</v>
      </c>
      <c r="D51" s="44">
        <v>1.5</v>
      </c>
      <c r="E51" s="24">
        <f t="shared" si="1"/>
        <v>57.649999999999991</v>
      </c>
      <c r="F51" s="93">
        <f t="shared" si="0"/>
        <v>86.474999999999994</v>
      </c>
      <c r="G51" s="93" t="s">
        <v>120</v>
      </c>
      <c r="J51" s="157" t="s">
        <v>166</v>
      </c>
      <c r="K51" s="44"/>
      <c r="L51" s="44">
        <f t="shared" si="2"/>
        <v>2191.19</v>
      </c>
      <c r="M51" s="44">
        <f t="shared" si="7"/>
        <v>1191.19</v>
      </c>
      <c r="N51" s="44"/>
      <c r="O51" s="44"/>
    </row>
    <row r="52" spans="1:15">
      <c r="A52" s="160" t="s">
        <v>167</v>
      </c>
      <c r="B52" s="86">
        <v>5.9</v>
      </c>
      <c r="C52" s="86">
        <v>7.5</v>
      </c>
      <c r="D52" s="86">
        <v>1.8</v>
      </c>
      <c r="E52" s="80">
        <f t="shared" si="1"/>
        <v>68.349999999999994</v>
      </c>
      <c r="F52" s="99">
        <f t="shared" si="0"/>
        <v>123.02999999999999</v>
      </c>
      <c r="G52" s="93" t="s">
        <v>120</v>
      </c>
      <c r="J52" s="160" t="s">
        <v>167</v>
      </c>
      <c r="K52" s="86">
        <v>1000</v>
      </c>
      <c r="L52" s="44">
        <f t="shared" si="2"/>
        <v>2314.2200000000003</v>
      </c>
      <c r="M52" s="44">
        <f t="shared" si="7"/>
        <v>314.22000000000003</v>
      </c>
      <c r="N52" s="86"/>
      <c r="O52" s="86"/>
    </row>
    <row r="53" spans="1:15">
      <c r="A53" s="88" t="s">
        <v>168</v>
      </c>
      <c r="B53" s="87">
        <v>4.0999999999999996</v>
      </c>
      <c r="C53" s="87">
        <v>5.3</v>
      </c>
      <c r="D53" s="87">
        <v>1.8</v>
      </c>
      <c r="E53" s="87">
        <f t="shared" si="1"/>
        <v>47.849999999999994</v>
      </c>
      <c r="F53" s="153">
        <f t="shared" si="0"/>
        <v>86.13</v>
      </c>
      <c r="G53" s="93" t="s">
        <v>120</v>
      </c>
      <c r="J53" s="88" t="s">
        <v>168</v>
      </c>
      <c r="K53" s="87">
        <v>500</v>
      </c>
      <c r="L53" s="44">
        <f t="shared" si="2"/>
        <v>2400.3500000000004</v>
      </c>
      <c r="M53" s="44">
        <f t="shared" si="7"/>
        <v>-99.649999999999977</v>
      </c>
      <c r="N53" s="87"/>
      <c r="O53" s="87"/>
    </row>
    <row r="54" spans="1:15">
      <c r="A54" s="83"/>
      <c r="B54" s="20"/>
      <c r="C54" s="20"/>
      <c r="D54" s="20"/>
      <c r="E54" s="20"/>
      <c r="F54" s="164"/>
      <c r="G54" s="20"/>
      <c r="H54" s="20"/>
      <c r="I54" s="20"/>
      <c r="J54" s="20"/>
      <c r="K54" s="20"/>
      <c r="L54" s="20"/>
      <c r="M54" s="20"/>
      <c r="N54" s="20"/>
      <c r="O54" s="20"/>
    </row>
    <row r="55" spans="1:15">
      <c r="A55" s="83"/>
      <c r="B55" s="20"/>
      <c r="C55" s="20"/>
      <c r="D55" s="20"/>
      <c r="E55" s="20"/>
      <c r="F55" s="164"/>
      <c r="G55" s="20"/>
      <c r="H55" s="20"/>
      <c r="I55" s="20"/>
      <c r="J55" s="20"/>
      <c r="K55" s="20"/>
      <c r="L55" s="20"/>
      <c r="M55" s="20"/>
      <c r="N55" s="20"/>
      <c r="O55" s="20"/>
    </row>
    <row r="56" spans="1:15">
      <c r="A56" s="83"/>
      <c r="B56" s="20"/>
      <c r="C56" s="20"/>
      <c r="D56" s="20"/>
      <c r="E56" s="20"/>
      <c r="F56" s="164"/>
      <c r="G56" s="20"/>
      <c r="H56" s="20"/>
      <c r="I56" s="20"/>
      <c r="J56" s="20"/>
      <c r="K56" s="20"/>
      <c r="L56" s="20"/>
      <c r="M56" s="20"/>
      <c r="N56" s="20"/>
      <c r="O56" s="20"/>
    </row>
    <row r="57" spans="1:15">
      <c r="A57" s="83"/>
      <c r="B57" s="20"/>
      <c r="C57" s="20"/>
      <c r="D57" s="20"/>
      <c r="E57" s="20"/>
      <c r="F57" s="164"/>
      <c r="G57" s="20"/>
      <c r="H57" s="20"/>
      <c r="I57" s="20"/>
      <c r="J57" s="20"/>
      <c r="K57" s="20"/>
      <c r="L57" s="20"/>
      <c r="M57" s="20"/>
      <c r="N57" s="20"/>
      <c r="O57" s="20"/>
    </row>
    <row r="58" spans="1:15">
      <c r="A58" s="83"/>
      <c r="B58" s="20"/>
      <c r="C58" s="20"/>
      <c r="D58" s="20"/>
      <c r="E58" s="20"/>
      <c r="F58" s="164"/>
      <c r="G58" s="20"/>
      <c r="H58" s="20"/>
      <c r="I58" s="20"/>
      <c r="J58" s="20"/>
      <c r="K58" s="20"/>
      <c r="L58" s="20"/>
      <c r="M58" s="20"/>
      <c r="N58" s="20"/>
      <c r="O58" s="20"/>
    </row>
    <row r="59" spans="1:15">
      <c r="A59" s="83"/>
      <c r="B59" s="20"/>
      <c r="C59" s="20"/>
      <c r="D59" s="20"/>
      <c r="E59" s="20"/>
      <c r="F59" s="164"/>
      <c r="G59" s="20"/>
      <c r="H59" s="20"/>
      <c r="I59" s="20"/>
      <c r="J59" s="20"/>
      <c r="K59" s="20"/>
      <c r="L59" s="20"/>
      <c r="M59" s="20"/>
      <c r="N59" s="20"/>
      <c r="O59" s="20"/>
    </row>
    <row r="60" spans="1:15">
      <c r="A60" s="83"/>
      <c r="B60" s="20"/>
      <c r="C60" s="20"/>
      <c r="D60" s="20"/>
      <c r="E60" s="20"/>
      <c r="F60" s="164"/>
      <c r="G60" s="20"/>
      <c r="H60" s="20"/>
      <c r="I60" s="20"/>
      <c r="J60" s="20"/>
      <c r="K60" s="20"/>
      <c r="L60" s="20"/>
      <c r="M60" s="20"/>
      <c r="N60" s="20"/>
      <c r="O60" s="20"/>
    </row>
    <row r="61" spans="1:15">
      <c r="A61" s="83"/>
      <c r="B61" s="20"/>
      <c r="C61" s="20"/>
      <c r="D61" s="20"/>
      <c r="E61" s="20"/>
      <c r="F61" s="164"/>
      <c r="G61" s="20"/>
      <c r="H61" s="20"/>
      <c r="I61" s="20"/>
      <c r="J61" s="20"/>
      <c r="K61" s="20"/>
      <c r="L61" s="20"/>
      <c r="M61" s="20"/>
      <c r="N61" s="20"/>
      <c r="O61" s="20"/>
    </row>
    <row r="62" spans="1:15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</sheetData>
  <mergeCells count="1">
    <mergeCell ref="B2:G2"/>
  </mergeCells>
  <hyperlinks>
    <hyperlink ref="F5" location="'Customer Index'!A8" display="Customer Code"/>
    <hyperlink ref="G5" location="'Customer Index'!A27" display="Bas20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7" max="17" width="15.44140625" bestFit="1" customWidth="1"/>
    <col min="18" max="18" width="15.33203125" bestFit="1" customWidth="1"/>
    <col min="19" max="19" width="12.5546875" bestFit="1" customWidth="1"/>
    <col min="20" max="20" width="15.6640625" customWidth="1"/>
  </cols>
  <sheetData>
    <row r="2" spans="1:21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1">
      <c r="A3" s="50" t="s">
        <v>239</v>
      </c>
      <c r="B3" s="51"/>
      <c r="C3" s="51"/>
      <c r="F3" s="52" t="s">
        <v>106</v>
      </c>
      <c r="G3" s="53">
        <v>9849261497</v>
      </c>
      <c r="H3" s="54"/>
    </row>
    <row r="5" spans="1:21">
      <c r="A5" s="50" t="s">
        <v>199</v>
      </c>
      <c r="B5" s="51"/>
      <c r="C5" s="51"/>
      <c r="D5" s="51"/>
      <c r="E5" s="51"/>
      <c r="F5" s="89" t="s">
        <v>18</v>
      </c>
      <c r="G5" s="175" t="s">
        <v>28</v>
      </c>
      <c r="L5" s="56"/>
    </row>
    <row r="7" spans="1:21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118</v>
      </c>
      <c r="Q7" s="91" t="s">
        <v>21</v>
      </c>
      <c r="R7" s="91" t="s">
        <v>202</v>
      </c>
      <c r="S7" s="92" t="s">
        <v>203</v>
      </c>
      <c r="T7" s="91" t="s">
        <v>201</v>
      </c>
      <c r="U7" s="91"/>
    </row>
    <row r="8" spans="1:21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5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/>
      <c r="Q8" s="44">
        <f>SUM(F8:F68)</f>
        <v>2907.4904999999999</v>
      </c>
      <c r="R8" s="44">
        <f>SUM(K8:K48)</f>
        <v>2000</v>
      </c>
      <c r="S8" s="44">
        <f>(Q8-R8)</f>
        <v>907.49049999999988</v>
      </c>
      <c r="T8" s="44">
        <f>SUM(D8:D47)</f>
        <v>31.200000000000003</v>
      </c>
      <c r="U8" s="44"/>
    </row>
    <row r="9" spans="1:21">
      <c r="A9" s="62" t="s">
        <v>121</v>
      </c>
      <c r="B9" s="24"/>
      <c r="C9" s="24"/>
      <c r="D9" s="24"/>
      <c r="E9" s="24">
        <f t="shared" ref="E9:E66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42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/>
      <c r="Q9" s="44"/>
      <c r="R9" s="44"/>
      <c r="S9" s="44"/>
      <c r="T9" s="44"/>
      <c r="U9" s="44"/>
    </row>
    <row r="10" spans="1:21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/>
      <c r="Q10" s="44"/>
      <c r="R10" s="44"/>
      <c r="S10" s="44"/>
      <c r="T10" s="44"/>
      <c r="U10" s="44"/>
    </row>
    <row r="11" spans="1:21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/>
      <c r="Q11" s="44"/>
      <c r="R11" s="44"/>
      <c r="S11" s="44"/>
      <c r="T11" s="44"/>
      <c r="U11" s="44"/>
    </row>
    <row r="12" spans="1:21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/>
      <c r="Q12" s="44"/>
      <c r="R12" s="44"/>
      <c r="S12" s="44"/>
      <c r="T12" s="44"/>
      <c r="U12" s="44"/>
    </row>
    <row r="13" spans="1:21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/>
      <c r="Q13" s="44"/>
      <c r="R13" s="44"/>
      <c r="S13" s="44"/>
      <c r="T13" s="44"/>
      <c r="U13" s="44"/>
    </row>
    <row r="14" spans="1:21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/>
      <c r="Q14" s="44"/>
      <c r="R14" s="44"/>
      <c r="S14" s="44"/>
      <c r="T14" s="44"/>
      <c r="U14" s="44"/>
    </row>
    <row r="15" spans="1:21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/>
      <c r="Q15" s="44"/>
      <c r="R15" s="44"/>
      <c r="S15" s="44"/>
      <c r="T15" s="44"/>
      <c r="U15" s="44"/>
    </row>
    <row r="16" spans="1:21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/>
      <c r="Q16" s="44"/>
      <c r="R16" s="44"/>
      <c r="S16" s="44"/>
      <c r="T16" s="44"/>
      <c r="U16" s="44"/>
    </row>
    <row r="17" spans="1:21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/>
      <c r="Q17" s="44"/>
      <c r="R17" s="44"/>
      <c r="S17" s="44"/>
      <c r="T17" s="44"/>
      <c r="U17" s="44"/>
    </row>
    <row r="18" spans="1:21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/>
    </row>
    <row r="19" spans="1:21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/>
    </row>
    <row r="20" spans="1:21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/>
    </row>
    <row r="21" spans="1:21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/>
    </row>
    <row r="22" spans="1:21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/>
    </row>
    <row r="23" spans="1:21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/>
    </row>
    <row r="24" spans="1:21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/>
    </row>
    <row r="25" spans="1:21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/>
    </row>
    <row r="26" spans="1:21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5">(M25+F26-K26)</f>
        <v>0</v>
      </c>
      <c r="N26" s="44"/>
      <c r="O26" s="44"/>
    </row>
    <row r="27" spans="1:21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6">(M26+F27-K27)</f>
        <v>0</v>
      </c>
      <c r="N27" s="44"/>
      <c r="O27" s="44"/>
    </row>
    <row r="28" spans="1:21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6"/>
        <v>0</v>
      </c>
      <c r="N28" s="44"/>
      <c r="O28" s="44"/>
    </row>
    <row r="29" spans="1:21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6"/>
        <v>0</v>
      </c>
      <c r="N29" s="44"/>
      <c r="O29" s="44"/>
    </row>
    <row r="30" spans="1:21">
      <c r="A30" s="96" t="s">
        <v>144</v>
      </c>
      <c r="B30" s="93">
        <v>9.15</v>
      </c>
      <c r="C30" s="93">
        <v>9.2200000000000006</v>
      </c>
      <c r="D30" s="93">
        <v>3.7</v>
      </c>
      <c r="E30" s="24">
        <f t="shared" si="1"/>
        <v>96.355000000000004</v>
      </c>
      <c r="F30" s="93">
        <f t="shared" si="0"/>
        <v>356.51350000000002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356.51350000000002</v>
      </c>
      <c r="M30" s="44">
        <f t="shared" si="6"/>
        <v>356.51350000000002</v>
      </c>
      <c r="N30" s="44"/>
      <c r="O30" s="44"/>
    </row>
    <row r="31" spans="1:21">
      <c r="A31" s="96" t="s">
        <v>145</v>
      </c>
      <c r="B31" s="93">
        <v>9.36</v>
      </c>
      <c r="C31" s="93">
        <v>9.7799999999999994</v>
      </c>
      <c r="D31" s="93">
        <v>2</v>
      </c>
      <c r="E31" s="24">
        <f t="shared" si="1"/>
        <v>99.96</v>
      </c>
      <c r="F31" s="93">
        <f t="shared" si="0"/>
        <v>199.92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556.43349999999998</v>
      </c>
      <c r="M31" s="44">
        <f t="shared" si="6"/>
        <v>556.43349999999998</v>
      </c>
      <c r="N31" s="44"/>
      <c r="O31" s="44"/>
    </row>
    <row r="32" spans="1:21">
      <c r="A32" s="96" t="s">
        <v>146</v>
      </c>
      <c r="B32" s="93">
        <v>8.1999999999999993</v>
      </c>
      <c r="C32" s="93">
        <v>9.1199999999999992</v>
      </c>
      <c r="D32" s="93">
        <v>0.9</v>
      </c>
      <c r="E32" s="24">
        <f t="shared" si="1"/>
        <v>89.78</v>
      </c>
      <c r="F32" s="93">
        <f t="shared" si="0"/>
        <v>80.802000000000007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637.2355</v>
      </c>
      <c r="M32" s="44">
        <f t="shared" si="6"/>
        <v>637.2355</v>
      </c>
      <c r="N32" s="44"/>
      <c r="O32" s="44"/>
    </row>
    <row r="33" spans="1:15">
      <c r="A33" s="96" t="s">
        <v>147</v>
      </c>
      <c r="B33" s="93">
        <v>7</v>
      </c>
      <c r="C33" s="93">
        <v>9</v>
      </c>
      <c r="D33" s="93">
        <v>2</v>
      </c>
      <c r="E33" s="24">
        <f t="shared" si="1"/>
        <v>81.5</v>
      </c>
      <c r="F33" s="93">
        <f t="shared" si="0"/>
        <v>163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800.2355</v>
      </c>
      <c r="M33" s="44">
        <f>(M32+F33-K33)</f>
        <v>800.2355</v>
      </c>
      <c r="N33" s="44"/>
      <c r="O33" s="44"/>
    </row>
    <row r="34" spans="1:15">
      <c r="A34" s="96" t="s">
        <v>148</v>
      </c>
      <c r="B34" s="93">
        <v>9.5</v>
      </c>
      <c r="C34" s="93">
        <v>9.01</v>
      </c>
      <c r="D34" s="93">
        <v>3.5</v>
      </c>
      <c r="E34" s="24">
        <f t="shared" si="1"/>
        <v>97.789999999999992</v>
      </c>
      <c r="F34" s="93">
        <f t="shared" si="0"/>
        <v>342.26499999999999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1142.5005000000001</v>
      </c>
      <c r="M34" s="44">
        <f t="shared" si="6"/>
        <v>1142.5005000000001</v>
      </c>
      <c r="N34" s="44"/>
      <c r="O34" s="44"/>
    </row>
    <row r="35" spans="1:15">
      <c r="A35" s="96" t="s">
        <v>149</v>
      </c>
      <c r="B35" s="93">
        <v>8.16</v>
      </c>
      <c r="C35" s="93">
        <v>9</v>
      </c>
      <c r="D35" s="93">
        <v>2</v>
      </c>
      <c r="E35" s="24">
        <f t="shared" si="1"/>
        <v>89.039999999999992</v>
      </c>
      <c r="F35" s="93">
        <f t="shared" si="0"/>
        <v>178.07999999999998</v>
      </c>
      <c r="G35" s="93" t="s">
        <v>155</v>
      </c>
      <c r="H35" s="20"/>
      <c r="I35" s="20"/>
      <c r="J35" s="62" t="s">
        <v>149</v>
      </c>
      <c r="K35" s="44"/>
      <c r="L35" s="44">
        <f t="shared" si="2"/>
        <v>1320.5805</v>
      </c>
      <c r="M35" s="44">
        <f t="shared" si="6"/>
        <v>1320.5805</v>
      </c>
      <c r="N35" s="44"/>
      <c r="O35" s="44"/>
    </row>
    <row r="36" spans="1:15">
      <c r="A36" s="96" t="s">
        <v>150</v>
      </c>
      <c r="B36" s="93">
        <v>8.64</v>
      </c>
      <c r="C36" s="93">
        <v>8.7799999999999994</v>
      </c>
      <c r="D36" s="93">
        <v>1</v>
      </c>
      <c r="E36" s="24">
        <f t="shared" si="1"/>
        <v>91.28</v>
      </c>
      <c r="F36" s="93">
        <f t="shared" si="0"/>
        <v>91.28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1411.8605</v>
      </c>
      <c r="M36" s="44">
        <f t="shared" si="6"/>
        <v>1411.8605</v>
      </c>
      <c r="N36" s="44"/>
      <c r="O36" s="44"/>
    </row>
    <row r="37" spans="1:15">
      <c r="A37" s="96" t="s">
        <v>151</v>
      </c>
      <c r="B37" s="93">
        <v>8.5</v>
      </c>
      <c r="C37" s="93">
        <v>7.6</v>
      </c>
      <c r="D37" s="93">
        <v>3.4</v>
      </c>
      <c r="E37" s="24">
        <f t="shared" si="1"/>
        <v>85.65</v>
      </c>
      <c r="F37" s="93">
        <f t="shared" si="0"/>
        <v>291.21000000000004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1703.0705</v>
      </c>
      <c r="M37" s="44">
        <f t="shared" si="6"/>
        <v>1703.0705</v>
      </c>
      <c r="N37" s="44"/>
      <c r="O37" s="44"/>
    </row>
    <row r="38" spans="1:15">
      <c r="A38" s="96" t="s">
        <v>152</v>
      </c>
      <c r="B38" s="93">
        <v>8.5</v>
      </c>
      <c r="C38" s="93">
        <v>7.6</v>
      </c>
      <c r="D38" s="93">
        <v>2</v>
      </c>
      <c r="E38" s="24">
        <f t="shared" si="1"/>
        <v>85.65</v>
      </c>
      <c r="F38" s="93">
        <f t="shared" si="0"/>
        <v>171.3</v>
      </c>
      <c r="G38" s="93" t="s">
        <v>120</v>
      </c>
      <c r="H38" s="20"/>
      <c r="I38" s="20"/>
      <c r="J38" s="62" t="s">
        <v>152</v>
      </c>
      <c r="K38" s="44">
        <v>2000</v>
      </c>
      <c r="L38" s="44">
        <f t="shared" si="2"/>
        <v>1874.3705</v>
      </c>
      <c r="M38" s="44">
        <f t="shared" si="6"/>
        <v>-125.62950000000001</v>
      </c>
      <c r="N38" s="44"/>
      <c r="O38" s="44"/>
    </row>
    <row r="39" spans="1:15">
      <c r="A39" s="96" t="s">
        <v>153</v>
      </c>
      <c r="B39" s="93">
        <v>9.8000000000000007</v>
      </c>
      <c r="C39" s="93">
        <v>9.1999999999999993</v>
      </c>
      <c r="D39" s="93">
        <v>3.4</v>
      </c>
      <c r="E39" s="93">
        <f t="shared" si="1"/>
        <v>100.5</v>
      </c>
      <c r="F39" s="93">
        <f t="shared" si="0"/>
        <v>341.7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2216.0704999999998</v>
      </c>
      <c r="M39" s="44">
        <f t="shared" si="6"/>
        <v>216.07049999999998</v>
      </c>
      <c r="N39" s="44"/>
      <c r="O39" s="44"/>
    </row>
    <row r="40" spans="1:15">
      <c r="A40" s="96" t="s">
        <v>154</v>
      </c>
      <c r="B40" s="93">
        <v>10</v>
      </c>
      <c r="C40" s="93">
        <v>9.1999999999999993</v>
      </c>
      <c r="D40" s="93">
        <v>2.1</v>
      </c>
      <c r="E40" s="24">
        <f t="shared" si="1"/>
        <v>101.8</v>
      </c>
      <c r="F40" s="93">
        <f t="shared" si="0"/>
        <v>213.78</v>
      </c>
      <c r="G40" s="93" t="s">
        <v>120</v>
      </c>
      <c r="H40" s="20"/>
      <c r="I40" s="20"/>
      <c r="J40" s="62" t="s">
        <v>154</v>
      </c>
      <c r="K40" s="44"/>
      <c r="L40" s="44">
        <f t="shared" si="2"/>
        <v>2429.8505</v>
      </c>
      <c r="M40" s="44">
        <f>(M39+F40-K40)</f>
        <v>429.85050000000001</v>
      </c>
      <c r="N40" s="44"/>
      <c r="O40" s="44"/>
    </row>
    <row r="41" spans="1:15">
      <c r="A41" s="96" t="s">
        <v>156</v>
      </c>
      <c r="B41" s="93">
        <v>8.6</v>
      </c>
      <c r="C41" s="93">
        <v>7</v>
      </c>
      <c r="D41" s="93">
        <v>2.1</v>
      </c>
      <c r="E41" s="24">
        <f t="shared" si="1"/>
        <v>83.9</v>
      </c>
      <c r="F41" s="93">
        <f t="shared" si="0"/>
        <v>176.19000000000003</v>
      </c>
      <c r="G41" s="93"/>
      <c r="H41" s="20"/>
      <c r="I41" s="20"/>
      <c r="J41" s="62" t="s">
        <v>156</v>
      </c>
      <c r="K41" s="155"/>
      <c r="L41" s="44">
        <f t="shared" si="2"/>
        <v>2606.0405000000001</v>
      </c>
      <c r="M41" s="44">
        <f t="shared" ref="M41:M43" si="7">(M40+F41-K41)</f>
        <v>606.04050000000007</v>
      </c>
      <c r="N41" s="44"/>
      <c r="O41" s="44"/>
    </row>
    <row r="42" spans="1:15">
      <c r="A42" s="96" t="s">
        <v>157</v>
      </c>
      <c r="B42" s="93">
        <v>9.4</v>
      </c>
      <c r="C42" s="93">
        <v>9.1</v>
      </c>
      <c r="D42" s="93">
        <v>2.1</v>
      </c>
      <c r="E42" s="24">
        <f t="shared" si="1"/>
        <v>97.5</v>
      </c>
      <c r="F42" s="93">
        <f t="shared" si="0"/>
        <v>204.75</v>
      </c>
      <c r="G42" s="93"/>
      <c r="H42" s="20"/>
      <c r="I42" s="20"/>
      <c r="J42" s="62" t="s">
        <v>157</v>
      </c>
      <c r="K42" s="155"/>
      <c r="L42" s="44">
        <f t="shared" si="2"/>
        <v>2810.7905000000001</v>
      </c>
      <c r="M42" s="44">
        <f t="shared" si="7"/>
        <v>810.79050000000007</v>
      </c>
      <c r="N42" s="44"/>
      <c r="O42" s="44"/>
    </row>
    <row r="43" spans="1:15">
      <c r="A43" s="96" t="s">
        <v>158</v>
      </c>
      <c r="B43" s="93">
        <v>9.4</v>
      </c>
      <c r="C43" s="93">
        <v>8.9</v>
      </c>
      <c r="D43" s="93">
        <v>1</v>
      </c>
      <c r="E43" s="24">
        <f t="shared" si="1"/>
        <v>96.7</v>
      </c>
      <c r="F43" s="93">
        <f t="shared" si="0"/>
        <v>96.7</v>
      </c>
      <c r="G43" s="93"/>
      <c r="H43" s="20"/>
      <c r="I43" s="20"/>
      <c r="J43" s="62" t="s">
        <v>158</v>
      </c>
      <c r="K43" s="44"/>
      <c r="L43" s="44">
        <f>(L42+F43)</f>
        <v>2907.4904999999999</v>
      </c>
      <c r="M43" s="44">
        <f t="shared" si="7"/>
        <v>907.49050000000011</v>
      </c>
      <c r="N43" s="44"/>
      <c r="O43" s="44"/>
    </row>
    <row r="44" spans="1:15">
      <c r="A44" s="96" t="s">
        <v>159</v>
      </c>
      <c r="B44" s="93"/>
      <c r="C44" s="93"/>
      <c r="D44" s="93"/>
      <c r="E44" s="24">
        <f t="shared" si="1"/>
        <v>0</v>
      </c>
      <c r="F44" s="93">
        <f t="shared" si="0"/>
        <v>0</v>
      </c>
      <c r="G44" s="93" t="s">
        <v>155</v>
      </c>
      <c r="H44" s="20"/>
      <c r="I44" s="20"/>
      <c r="J44" s="62" t="s">
        <v>159</v>
      </c>
      <c r="K44" s="44"/>
      <c r="L44" s="44"/>
      <c r="M44" s="44"/>
      <c r="N44" s="44"/>
      <c r="O44" s="44"/>
    </row>
    <row r="45" spans="1:15">
      <c r="A45" s="96" t="s">
        <v>160</v>
      </c>
      <c r="B45" s="93"/>
      <c r="C45" s="93"/>
      <c r="D45" s="93"/>
      <c r="E45" s="24">
        <f t="shared" si="1"/>
        <v>0</v>
      </c>
      <c r="F45" s="93">
        <f t="shared" si="0"/>
        <v>0</v>
      </c>
      <c r="G45" s="93" t="s">
        <v>155</v>
      </c>
      <c r="H45" s="20"/>
      <c r="I45" s="20"/>
      <c r="J45" s="62" t="s">
        <v>160</v>
      </c>
      <c r="K45" s="44"/>
      <c r="L45" s="44"/>
      <c r="M45" s="44"/>
      <c r="N45" s="44"/>
      <c r="O45" s="44"/>
    </row>
    <row r="46" spans="1:15">
      <c r="A46" s="96" t="s">
        <v>161</v>
      </c>
      <c r="B46" s="93"/>
      <c r="C46" s="93"/>
      <c r="D46" s="93"/>
      <c r="E46" s="24">
        <f t="shared" si="1"/>
        <v>0</v>
      </c>
      <c r="F46" s="93">
        <f t="shared" si="0"/>
        <v>0</v>
      </c>
      <c r="G46" s="93" t="s">
        <v>155</v>
      </c>
      <c r="H46" s="20"/>
      <c r="I46" s="20"/>
      <c r="J46" s="62" t="s">
        <v>161</v>
      </c>
      <c r="K46" s="44"/>
      <c r="L46" s="44"/>
      <c r="M46" s="44"/>
      <c r="N46" s="44"/>
      <c r="O46" s="44"/>
    </row>
    <row r="47" spans="1:15">
      <c r="A47" s="96" t="s">
        <v>162</v>
      </c>
      <c r="B47" s="99"/>
      <c r="C47" s="99"/>
      <c r="D47" s="99"/>
      <c r="E47" s="24">
        <f t="shared" si="1"/>
        <v>0</v>
      </c>
      <c r="F47" s="93">
        <f t="shared" si="0"/>
        <v>0</v>
      </c>
      <c r="G47" s="99" t="s">
        <v>155</v>
      </c>
      <c r="H47" s="20"/>
      <c r="I47" s="20"/>
      <c r="J47" s="79" t="s">
        <v>162</v>
      </c>
      <c r="K47" s="86"/>
      <c r="L47" s="44"/>
      <c r="M47" s="86"/>
      <c r="N47" s="86"/>
      <c r="O47" s="86"/>
    </row>
    <row r="48" spans="1:15">
      <c r="A48" s="157" t="s">
        <v>163</v>
      </c>
      <c r="B48" s="44"/>
      <c r="C48" s="44"/>
      <c r="D48" s="44"/>
      <c r="E48" s="24">
        <f t="shared" si="1"/>
        <v>0</v>
      </c>
      <c r="F48" s="93">
        <f t="shared" si="0"/>
        <v>0</v>
      </c>
      <c r="G48" s="44"/>
      <c r="J48" s="44"/>
      <c r="K48" s="44"/>
      <c r="L48" s="44"/>
      <c r="M48" s="44"/>
      <c r="N48" s="44"/>
      <c r="O48" s="44"/>
    </row>
    <row r="49" spans="1:15">
      <c r="A49" s="157" t="s">
        <v>164</v>
      </c>
      <c r="B49" s="44"/>
      <c r="C49" s="44"/>
      <c r="D49" s="44"/>
      <c r="E49" s="24">
        <f t="shared" si="1"/>
        <v>0</v>
      </c>
      <c r="F49" s="93">
        <f t="shared" si="0"/>
        <v>0</v>
      </c>
      <c r="G49" s="44"/>
      <c r="J49" s="44"/>
      <c r="K49" s="44"/>
      <c r="L49" s="44"/>
      <c r="M49" s="44"/>
      <c r="N49" s="44"/>
      <c r="O49" s="44"/>
    </row>
    <row r="50" spans="1:15">
      <c r="A50" s="157" t="s">
        <v>165</v>
      </c>
      <c r="B50" s="44"/>
      <c r="C50" s="44"/>
      <c r="D50" s="44"/>
      <c r="E50" s="24">
        <f t="shared" si="1"/>
        <v>0</v>
      </c>
      <c r="F50" s="93">
        <f t="shared" si="0"/>
        <v>0</v>
      </c>
      <c r="G50" s="44"/>
      <c r="J50" s="44"/>
      <c r="K50" s="44"/>
      <c r="L50" s="44"/>
      <c r="M50" s="44"/>
      <c r="N50" s="44"/>
      <c r="O50" s="44"/>
    </row>
    <row r="51" spans="1:15">
      <c r="A51" s="157" t="s">
        <v>166</v>
      </c>
      <c r="B51" s="44"/>
      <c r="C51" s="44"/>
      <c r="D51" s="44"/>
      <c r="E51" s="24">
        <f t="shared" si="1"/>
        <v>0</v>
      </c>
      <c r="F51" s="93">
        <f t="shared" si="0"/>
        <v>0</v>
      </c>
      <c r="G51" s="44"/>
      <c r="J51" s="44"/>
      <c r="K51" s="44"/>
      <c r="L51" s="44"/>
      <c r="M51" s="44"/>
      <c r="N51" s="44"/>
      <c r="O51" s="44"/>
    </row>
    <row r="52" spans="1:15">
      <c r="A52" s="157" t="s">
        <v>167</v>
      </c>
      <c r="B52" s="44"/>
      <c r="C52" s="44"/>
      <c r="D52" s="44"/>
      <c r="E52" s="24">
        <f t="shared" si="1"/>
        <v>0</v>
      </c>
      <c r="F52" s="93">
        <f t="shared" si="0"/>
        <v>0</v>
      </c>
      <c r="G52" s="44"/>
      <c r="J52" s="44"/>
      <c r="K52" s="44"/>
      <c r="L52" s="44"/>
      <c r="M52" s="44"/>
      <c r="N52" s="44"/>
      <c r="O52" s="44"/>
    </row>
    <row r="53" spans="1:15">
      <c r="A53" s="157" t="s">
        <v>168</v>
      </c>
      <c r="B53" s="44"/>
      <c r="C53" s="44"/>
      <c r="D53" s="44"/>
      <c r="E53" s="24">
        <f t="shared" si="1"/>
        <v>0</v>
      </c>
      <c r="F53" s="93">
        <f t="shared" si="0"/>
        <v>0</v>
      </c>
      <c r="G53" s="44"/>
      <c r="J53" s="44"/>
      <c r="K53" s="44"/>
      <c r="L53" s="44"/>
      <c r="M53" s="44"/>
      <c r="N53" s="44"/>
      <c r="O53" s="44"/>
    </row>
    <row r="54" spans="1:15">
      <c r="A54" s="157" t="s">
        <v>212</v>
      </c>
      <c r="B54" s="44"/>
      <c r="C54" s="44"/>
      <c r="D54" s="44"/>
      <c r="E54" s="24">
        <f t="shared" si="1"/>
        <v>0</v>
      </c>
      <c r="F54" s="93">
        <f t="shared" si="0"/>
        <v>0</v>
      </c>
      <c r="G54" s="44"/>
      <c r="J54" s="44"/>
      <c r="K54" s="44"/>
      <c r="L54" s="44"/>
      <c r="M54" s="44"/>
      <c r="N54" s="44"/>
      <c r="O54" s="44"/>
    </row>
    <row r="55" spans="1:15">
      <c r="A55" s="157" t="s">
        <v>213</v>
      </c>
      <c r="B55" s="44"/>
      <c r="C55" s="44"/>
      <c r="D55" s="44"/>
      <c r="E55" s="24">
        <f t="shared" si="1"/>
        <v>0</v>
      </c>
      <c r="F55" s="93">
        <f t="shared" si="0"/>
        <v>0</v>
      </c>
      <c r="G55" s="44"/>
      <c r="J55" s="44"/>
      <c r="K55" s="44"/>
      <c r="L55" s="44"/>
      <c r="M55" s="44"/>
      <c r="N55" s="44"/>
      <c r="O55" s="44"/>
    </row>
    <row r="56" spans="1:15">
      <c r="A56" s="157" t="s">
        <v>214</v>
      </c>
      <c r="B56" s="44"/>
      <c r="C56" s="44"/>
      <c r="D56" s="44"/>
      <c r="E56" s="24">
        <f t="shared" si="1"/>
        <v>0</v>
      </c>
      <c r="F56" s="44"/>
      <c r="G56" s="44"/>
      <c r="J56" s="44"/>
      <c r="K56" s="44"/>
      <c r="L56" s="44"/>
      <c r="M56" s="44"/>
      <c r="N56" s="44"/>
      <c r="O56" s="44"/>
    </row>
    <row r="57" spans="1:15">
      <c r="A57" s="157" t="s">
        <v>215</v>
      </c>
      <c r="B57" s="44"/>
      <c r="C57" s="44"/>
      <c r="D57" s="44"/>
      <c r="E57" s="24">
        <f t="shared" si="1"/>
        <v>0</v>
      </c>
      <c r="F57" s="44"/>
      <c r="G57" s="44"/>
      <c r="J57" s="44"/>
      <c r="K57" s="44"/>
      <c r="L57" s="44"/>
      <c r="M57" s="44"/>
      <c r="N57" s="44"/>
      <c r="O57" s="44"/>
    </row>
    <row r="58" spans="1:15">
      <c r="A58" s="157" t="s">
        <v>216</v>
      </c>
      <c r="B58" s="44"/>
      <c r="C58" s="44"/>
      <c r="D58" s="44"/>
      <c r="E58" s="24">
        <f t="shared" si="1"/>
        <v>0</v>
      </c>
      <c r="F58" s="44"/>
      <c r="G58" s="44"/>
      <c r="J58" s="44"/>
      <c r="K58" s="44"/>
      <c r="L58" s="44"/>
      <c r="M58" s="44"/>
      <c r="N58" s="44"/>
      <c r="O58" s="44"/>
    </row>
    <row r="59" spans="1:15">
      <c r="A59" s="157" t="s">
        <v>217</v>
      </c>
      <c r="B59" s="44"/>
      <c r="C59" s="44"/>
      <c r="D59" s="44"/>
      <c r="E59" s="24">
        <f t="shared" si="1"/>
        <v>0</v>
      </c>
      <c r="F59" s="44"/>
      <c r="G59" s="44"/>
      <c r="J59" s="44"/>
      <c r="K59" s="44"/>
      <c r="L59" s="44"/>
      <c r="M59" s="44"/>
      <c r="N59" s="44"/>
      <c r="O59" s="44"/>
    </row>
    <row r="60" spans="1:15">
      <c r="A60" s="157" t="s">
        <v>218</v>
      </c>
      <c r="B60" s="44"/>
      <c r="C60" s="44"/>
      <c r="D60" s="44"/>
      <c r="E60" s="24">
        <f t="shared" si="1"/>
        <v>0</v>
      </c>
      <c r="F60" s="44"/>
      <c r="G60" s="44"/>
      <c r="J60" s="44"/>
      <c r="K60" s="44"/>
      <c r="L60" s="44"/>
      <c r="M60" s="44"/>
      <c r="N60" s="44"/>
      <c r="O60" s="44"/>
    </row>
    <row r="61" spans="1:15">
      <c r="A61" s="157" t="s">
        <v>219</v>
      </c>
      <c r="B61" s="44"/>
      <c r="C61" s="44"/>
      <c r="D61" s="44"/>
      <c r="E61" s="24">
        <f t="shared" si="1"/>
        <v>0</v>
      </c>
      <c r="F61" s="44"/>
      <c r="G61" s="44"/>
      <c r="J61" s="44"/>
      <c r="K61" s="44"/>
      <c r="L61" s="44"/>
      <c r="M61" s="44"/>
      <c r="N61" s="44"/>
      <c r="O61" s="44"/>
    </row>
    <row r="62" spans="1:15">
      <c r="A62" s="157" t="s">
        <v>220</v>
      </c>
      <c r="B62" s="44"/>
      <c r="C62" s="44"/>
      <c r="D62" s="44"/>
      <c r="E62" s="24">
        <f t="shared" si="1"/>
        <v>0</v>
      </c>
      <c r="F62" s="44"/>
      <c r="G62" s="44"/>
      <c r="J62" s="44"/>
      <c r="K62" s="44"/>
      <c r="L62" s="44"/>
      <c r="M62" s="44"/>
      <c r="N62" s="44"/>
      <c r="O62" s="44"/>
    </row>
    <row r="63" spans="1:15">
      <c r="A63" s="157" t="s">
        <v>221</v>
      </c>
      <c r="B63" s="44"/>
      <c r="C63" s="44"/>
      <c r="D63" s="44"/>
      <c r="E63" s="24">
        <f t="shared" si="1"/>
        <v>0</v>
      </c>
      <c r="F63" s="44"/>
      <c r="G63" s="44"/>
      <c r="J63" s="44"/>
      <c r="K63" s="44"/>
      <c r="L63" s="44"/>
      <c r="M63" s="44"/>
      <c r="N63" s="44"/>
      <c r="O63" s="44"/>
    </row>
    <row r="64" spans="1:15">
      <c r="A64" s="157" t="s">
        <v>222</v>
      </c>
      <c r="B64" s="44"/>
      <c r="C64" s="44"/>
      <c r="D64" s="44"/>
      <c r="E64" s="24">
        <f t="shared" si="1"/>
        <v>0</v>
      </c>
      <c r="F64" s="44"/>
      <c r="G64" s="44"/>
      <c r="J64" s="44"/>
      <c r="K64" s="44"/>
      <c r="L64" s="44"/>
      <c r="M64" s="44"/>
      <c r="N64" s="44"/>
      <c r="O64" s="44"/>
    </row>
    <row r="65" spans="1:15">
      <c r="A65" s="157" t="s">
        <v>223</v>
      </c>
      <c r="B65" s="44"/>
      <c r="C65" s="44"/>
      <c r="D65" s="44"/>
      <c r="E65" s="24">
        <f t="shared" si="1"/>
        <v>0</v>
      </c>
      <c r="F65" s="44"/>
      <c r="G65" s="44"/>
      <c r="J65" s="44"/>
      <c r="K65" s="44"/>
      <c r="L65" s="44"/>
      <c r="M65" s="44"/>
      <c r="N65" s="44"/>
      <c r="O65" s="44"/>
    </row>
    <row r="66" spans="1:15">
      <c r="A66" s="157" t="s">
        <v>224</v>
      </c>
      <c r="B66" s="44"/>
      <c r="C66" s="44"/>
      <c r="D66" s="44"/>
      <c r="E66" s="24">
        <f t="shared" si="1"/>
        <v>0</v>
      </c>
      <c r="F66" s="44"/>
      <c r="G66" s="44"/>
      <c r="J66" s="44"/>
      <c r="K66" s="44"/>
      <c r="L66" s="44"/>
      <c r="M66" s="44"/>
      <c r="N66" s="44"/>
      <c r="O66" s="44"/>
    </row>
    <row r="67" spans="1:15">
      <c r="A67" s="157" t="s">
        <v>225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</row>
    <row r="68" spans="1:15">
      <c r="A68" s="157" t="s">
        <v>226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</row>
  </sheetData>
  <mergeCells count="1">
    <mergeCell ref="B2:G2"/>
  </mergeCells>
  <hyperlinks>
    <hyperlink ref="F5" location="'Customer Index'!A8" display="Customer Code"/>
    <hyperlink ref="G5" location="'Customer Index'!A28" display="Bas03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8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240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67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8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SUM(F8:F68)</f>
        <v>4347.4655000000012</v>
      </c>
      <c r="S8" s="44">
        <f>SUM(K8:K48)</f>
        <v>2000</v>
      </c>
      <c r="T8" s="44">
        <f>(R8-S8)</f>
        <v>2347.4655000000012</v>
      </c>
      <c r="U8" s="44">
        <f>SUM(D8:D47)</f>
        <v>39.199999999999996</v>
      </c>
      <c r="V8" s="44"/>
    </row>
    <row r="9" spans="1:22">
      <c r="A9" s="62" t="s">
        <v>121</v>
      </c>
      <c r="B9" s="24"/>
      <c r="C9" s="24"/>
      <c r="D9" s="24"/>
      <c r="E9" s="24">
        <f t="shared" ref="E9:E60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4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39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6">(M25+F26-K26)</f>
        <v>0</v>
      </c>
      <c r="N26" s="44"/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7">(M26+F27-K27)</f>
        <v>0</v>
      </c>
      <c r="N27" s="44"/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7"/>
        <v>0</v>
      </c>
      <c r="N28" s="44"/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7"/>
        <v>0</v>
      </c>
      <c r="N29" s="44"/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7"/>
        <v>0</v>
      </c>
      <c r="N30" s="44"/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7"/>
        <v>0</v>
      </c>
      <c r="N31" s="44"/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7"/>
        <v>0</v>
      </c>
      <c r="N32" s="44"/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/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7"/>
        <v>0</v>
      </c>
      <c r="N34" s="44"/>
      <c r="O34" s="44">
        <f t="shared" si="5"/>
        <v>0</v>
      </c>
      <c r="P34" s="44"/>
    </row>
    <row r="35" spans="1:16">
      <c r="A35" s="96" t="s">
        <v>149</v>
      </c>
      <c r="B35" s="93">
        <v>5.88</v>
      </c>
      <c r="C35" s="93">
        <v>9.92</v>
      </c>
      <c r="D35" s="93">
        <v>2.2999999999999998</v>
      </c>
      <c r="E35" s="24">
        <f t="shared" si="1"/>
        <v>77.900000000000006</v>
      </c>
      <c r="F35" s="93">
        <f t="shared" si="0"/>
        <v>179.17</v>
      </c>
      <c r="G35" s="93" t="s">
        <v>155</v>
      </c>
      <c r="H35" s="20"/>
      <c r="I35" s="20"/>
      <c r="J35" s="62" t="s">
        <v>149</v>
      </c>
      <c r="K35" s="44"/>
      <c r="L35" s="44">
        <f t="shared" si="2"/>
        <v>179.17</v>
      </c>
      <c r="M35" s="44">
        <f t="shared" si="7"/>
        <v>179.17</v>
      </c>
      <c r="N35" s="44"/>
      <c r="O35" s="44">
        <f t="shared" si="5"/>
        <v>2.2999999999999998</v>
      </c>
      <c r="P35" s="44"/>
    </row>
    <row r="36" spans="1:16">
      <c r="A36" s="96" t="s">
        <v>150</v>
      </c>
      <c r="B36" s="93">
        <v>6.45</v>
      </c>
      <c r="C36" s="93">
        <v>9.98</v>
      </c>
      <c r="D36" s="93">
        <v>2.9</v>
      </c>
      <c r="E36" s="24">
        <f t="shared" si="1"/>
        <v>81.844999999999999</v>
      </c>
      <c r="F36" s="93">
        <f t="shared" si="0"/>
        <v>237.35049999999998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416.52049999999997</v>
      </c>
      <c r="M36" s="44">
        <f t="shared" si="7"/>
        <v>416.52049999999997</v>
      </c>
      <c r="N36" s="44"/>
      <c r="O36" s="44">
        <f t="shared" si="5"/>
        <v>5.1999999999999993</v>
      </c>
      <c r="P36" s="44"/>
    </row>
    <row r="37" spans="1:16">
      <c r="A37" s="96" t="s">
        <v>151</v>
      </c>
      <c r="B37" s="93">
        <v>6.3</v>
      </c>
      <c r="C37" s="93">
        <v>9</v>
      </c>
      <c r="D37" s="93">
        <v>2.2000000000000002</v>
      </c>
      <c r="E37" s="24">
        <f t="shared" si="1"/>
        <v>76.949999999999989</v>
      </c>
      <c r="F37" s="93">
        <f t="shared" si="0"/>
        <v>169.29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585.81049999999993</v>
      </c>
      <c r="M37" s="44">
        <f t="shared" si="7"/>
        <v>585.81049999999993</v>
      </c>
      <c r="N37" s="44"/>
      <c r="O37" s="44">
        <f t="shared" si="5"/>
        <v>7.3999999999999995</v>
      </c>
      <c r="P37" s="44"/>
    </row>
    <row r="38" spans="1:16">
      <c r="A38" s="96" t="s">
        <v>152</v>
      </c>
      <c r="B38" s="93">
        <v>6.7</v>
      </c>
      <c r="C38" s="93">
        <v>9</v>
      </c>
      <c r="D38" s="93">
        <v>3</v>
      </c>
      <c r="E38" s="24">
        <f t="shared" si="1"/>
        <v>79.550000000000011</v>
      </c>
      <c r="F38" s="93">
        <f t="shared" si="0"/>
        <v>238.65000000000003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824.46049999999991</v>
      </c>
      <c r="M38" s="44">
        <f t="shared" si="7"/>
        <v>824.46049999999991</v>
      </c>
      <c r="N38" s="44"/>
      <c r="O38" s="44">
        <f t="shared" si="5"/>
        <v>10.399999999999999</v>
      </c>
      <c r="P38" s="44"/>
    </row>
    <row r="39" spans="1:16">
      <c r="A39" s="96" t="s">
        <v>153</v>
      </c>
      <c r="B39" s="93">
        <v>6.4</v>
      </c>
      <c r="C39" s="93">
        <v>9</v>
      </c>
      <c r="D39" s="93">
        <v>3.4</v>
      </c>
      <c r="E39" s="93">
        <f t="shared" si="1"/>
        <v>77.599999999999994</v>
      </c>
      <c r="F39" s="93">
        <f t="shared" si="0"/>
        <v>263.83999999999997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1088.3004999999998</v>
      </c>
      <c r="M39" s="44">
        <f t="shared" si="7"/>
        <v>1088.3004999999998</v>
      </c>
      <c r="N39" s="44"/>
      <c r="O39" s="44">
        <f t="shared" si="5"/>
        <v>13.799999999999999</v>
      </c>
      <c r="P39" s="44"/>
    </row>
    <row r="40" spans="1:16">
      <c r="A40" s="96" t="s">
        <v>154</v>
      </c>
      <c r="B40" s="93">
        <v>6.7</v>
      </c>
      <c r="C40" s="93">
        <v>9</v>
      </c>
      <c r="D40" s="93">
        <v>3.5</v>
      </c>
      <c r="E40" s="24">
        <f t="shared" si="1"/>
        <v>79.550000000000011</v>
      </c>
      <c r="F40" s="93">
        <f t="shared" si="0"/>
        <v>278.42500000000007</v>
      </c>
      <c r="G40" s="93" t="s">
        <v>120</v>
      </c>
      <c r="H40" s="20"/>
      <c r="I40" s="20"/>
      <c r="J40" s="62" t="s">
        <v>154</v>
      </c>
      <c r="K40" s="44"/>
      <c r="L40" s="44">
        <f t="shared" si="2"/>
        <v>1366.7255</v>
      </c>
      <c r="M40" s="44">
        <f>(M39+F40-K40)</f>
        <v>1366.7255</v>
      </c>
      <c r="N40" s="44"/>
      <c r="O40" s="44">
        <f t="shared" ref="O40:O42" si="8">(O39+D40)</f>
        <v>17.299999999999997</v>
      </c>
      <c r="P40" s="44"/>
    </row>
    <row r="41" spans="1:16">
      <c r="A41" s="96" t="s">
        <v>156</v>
      </c>
      <c r="B41" s="93">
        <v>6.4</v>
      </c>
      <c r="C41" s="93">
        <v>9.6</v>
      </c>
      <c r="D41" s="93">
        <v>3.4</v>
      </c>
      <c r="E41" s="24">
        <f t="shared" si="1"/>
        <v>80</v>
      </c>
      <c r="F41" s="93">
        <f t="shared" si="0"/>
        <v>272</v>
      </c>
      <c r="G41" s="93" t="s">
        <v>120</v>
      </c>
      <c r="H41" s="20"/>
      <c r="I41" s="20"/>
      <c r="J41" s="62" t="s">
        <v>156</v>
      </c>
      <c r="K41" s="155"/>
      <c r="L41" s="44">
        <f t="shared" si="2"/>
        <v>1638.7255</v>
      </c>
      <c r="M41" s="44">
        <f t="shared" ref="M41:M54" si="9">(M40+F41-K41)</f>
        <v>1638.7255</v>
      </c>
      <c r="N41" s="44"/>
      <c r="O41" s="44">
        <f t="shared" si="8"/>
        <v>20.699999999999996</v>
      </c>
      <c r="P41" s="44"/>
    </row>
    <row r="42" spans="1:16">
      <c r="A42" s="96" t="s">
        <v>157</v>
      </c>
      <c r="B42" s="93">
        <v>6.3</v>
      </c>
      <c r="C42" s="93">
        <v>9.5</v>
      </c>
      <c r="D42" s="93">
        <v>3.6</v>
      </c>
      <c r="E42" s="24">
        <f t="shared" si="1"/>
        <v>78.949999999999989</v>
      </c>
      <c r="F42" s="93">
        <f t="shared" si="0"/>
        <v>284.21999999999997</v>
      </c>
      <c r="G42" s="93" t="s">
        <v>120</v>
      </c>
      <c r="H42" s="20"/>
      <c r="I42" s="20"/>
      <c r="J42" s="62" t="s">
        <v>157</v>
      </c>
      <c r="K42" s="155"/>
      <c r="L42" s="44">
        <f t="shared" si="2"/>
        <v>1922.9455</v>
      </c>
      <c r="M42" s="44">
        <f t="shared" si="9"/>
        <v>1922.9455</v>
      </c>
      <c r="N42" s="44"/>
      <c r="O42" s="44">
        <f t="shared" si="8"/>
        <v>24.299999999999997</v>
      </c>
      <c r="P42" s="44"/>
    </row>
    <row r="43" spans="1:16">
      <c r="A43" s="96" t="s">
        <v>158</v>
      </c>
      <c r="B43" s="93">
        <v>6.4</v>
      </c>
      <c r="C43" s="93">
        <v>9.5</v>
      </c>
      <c r="D43" s="93">
        <v>3.6</v>
      </c>
      <c r="E43" s="24">
        <f t="shared" si="1"/>
        <v>79.599999999999994</v>
      </c>
      <c r="F43" s="93">
        <f t="shared" si="0"/>
        <v>286.56</v>
      </c>
      <c r="G43" s="93" t="s">
        <v>120</v>
      </c>
      <c r="H43" s="20"/>
      <c r="I43" s="20"/>
      <c r="J43" s="62" t="s">
        <v>158</v>
      </c>
      <c r="K43" s="44"/>
      <c r="L43" s="44">
        <f t="shared" si="2"/>
        <v>2209.5055000000002</v>
      </c>
      <c r="M43" s="44">
        <f t="shared" si="9"/>
        <v>2209.5055000000002</v>
      </c>
      <c r="N43" s="44"/>
      <c r="O43" s="44">
        <f>(O42+D43)</f>
        <v>27.9</v>
      </c>
      <c r="P43" s="44"/>
    </row>
    <row r="44" spans="1:16">
      <c r="A44" s="96" t="s">
        <v>159</v>
      </c>
      <c r="B44" s="93">
        <v>6</v>
      </c>
      <c r="C44" s="93">
        <v>9.8000000000000007</v>
      </c>
      <c r="D44" s="93">
        <v>3.7</v>
      </c>
      <c r="E44" s="24">
        <f t="shared" si="1"/>
        <v>78.2</v>
      </c>
      <c r="F44" s="93">
        <f t="shared" si="0"/>
        <v>289.34000000000003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2498.8455000000004</v>
      </c>
      <c r="M44" s="44">
        <f t="shared" si="9"/>
        <v>2498.8455000000004</v>
      </c>
      <c r="N44" s="44"/>
      <c r="O44" s="44"/>
      <c r="P44" s="44"/>
    </row>
    <row r="45" spans="1:16">
      <c r="A45" s="96" t="s">
        <v>160</v>
      </c>
      <c r="B45" s="93">
        <v>5.8</v>
      </c>
      <c r="C45" s="93">
        <v>9.1999999999999993</v>
      </c>
      <c r="D45" s="93">
        <v>3.8</v>
      </c>
      <c r="E45" s="24">
        <f t="shared" si="1"/>
        <v>74.5</v>
      </c>
      <c r="F45" s="93">
        <f t="shared" si="0"/>
        <v>283.09999999999997</v>
      </c>
      <c r="G45" s="93" t="s">
        <v>120</v>
      </c>
      <c r="H45" s="20"/>
      <c r="I45" s="20"/>
      <c r="J45" s="62" t="s">
        <v>160</v>
      </c>
      <c r="K45" s="44"/>
      <c r="L45" s="44">
        <f t="shared" si="2"/>
        <v>2781.9455000000003</v>
      </c>
      <c r="M45" s="44">
        <f t="shared" si="9"/>
        <v>2781.9455000000003</v>
      </c>
      <c r="N45" s="44"/>
      <c r="O45" s="44"/>
      <c r="P45" s="44"/>
    </row>
    <row r="46" spans="1:16">
      <c r="A46" s="96" t="s">
        <v>161</v>
      </c>
      <c r="B46" s="93"/>
      <c r="C46" s="93"/>
      <c r="D46" s="93"/>
      <c r="E46" s="24">
        <f t="shared" si="1"/>
        <v>0</v>
      </c>
      <c r="F46" s="93">
        <f t="shared" si="0"/>
        <v>0</v>
      </c>
      <c r="G46" s="93" t="s">
        <v>155</v>
      </c>
      <c r="H46" s="20"/>
      <c r="I46" s="20"/>
      <c r="J46" s="62" t="s">
        <v>161</v>
      </c>
      <c r="K46" s="44"/>
      <c r="L46" s="44">
        <f t="shared" si="2"/>
        <v>2781.9455000000003</v>
      </c>
      <c r="M46" s="44">
        <f t="shared" si="9"/>
        <v>2781.9455000000003</v>
      </c>
      <c r="N46" s="44"/>
      <c r="O46" s="44"/>
      <c r="P46" s="44"/>
    </row>
    <row r="47" spans="1:16">
      <c r="A47" s="96" t="s">
        <v>162</v>
      </c>
      <c r="B47" s="99">
        <v>5.4</v>
      </c>
      <c r="C47" s="99">
        <v>7.6</v>
      </c>
      <c r="D47" s="99">
        <v>3.8</v>
      </c>
      <c r="E47" s="24">
        <f t="shared" si="1"/>
        <v>65.5</v>
      </c>
      <c r="F47" s="93">
        <f t="shared" si="0"/>
        <v>248.89999999999998</v>
      </c>
      <c r="G47" s="93" t="s">
        <v>120</v>
      </c>
      <c r="H47" s="20"/>
      <c r="I47" s="20"/>
      <c r="J47" s="79" t="s">
        <v>162</v>
      </c>
      <c r="K47" s="86"/>
      <c r="L47" s="44">
        <f t="shared" si="2"/>
        <v>3030.8455000000004</v>
      </c>
      <c r="M47" s="44">
        <f t="shared" si="9"/>
        <v>3030.8455000000004</v>
      </c>
      <c r="N47" s="86"/>
      <c r="O47" s="86"/>
      <c r="P47" s="86"/>
    </row>
    <row r="48" spans="1:16">
      <c r="A48" s="157" t="s">
        <v>163</v>
      </c>
      <c r="B48" s="44">
        <v>5.9</v>
      </c>
      <c r="C48" s="44">
        <v>9.3000000000000007</v>
      </c>
      <c r="D48" s="44">
        <v>3.8</v>
      </c>
      <c r="E48" s="24">
        <f t="shared" si="1"/>
        <v>75.550000000000011</v>
      </c>
      <c r="F48" s="93">
        <f t="shared" si="0"/>
        <v>287.09000000000003</v>
      </c>
      <c r="G48" s="93" t="s">
        <v>120</v>
      </c>
      <c r="J48" s="157" t="s">
        <v>163</v>
      </c>
      <c r="K48" s="44">
        <v>2000</v>
      </c>
      <c r="L48" s="44">
        <f t="shared" si="2"/>
        <v>3317.9355000000005</v>
      </c>
      <c r="M48" s="44">
        <f t="shared" si="9"/>
        <v>1317.9355000000005</v>
      </c>
      <c r="N48" s="44"/>
      <c r="O48" s="44"/>
      <c r="P48" s="44"/>
    </row>
    <row r="49" spans="1:16">
      <c r="A49" s="157" t="s">
        <v>164</v>
      </c>
      <c r="B49" s="44">
        <v>6</v>
      </c>
      <c r="C49" s="44">
        <v>8.5</v>
      </c>
      <c r="D49" s="44">
        <v>3.7</v>
      </c>
      <c r="E49" s="24">
        <f t="shared" si="1"/>
        <v>73</v>
      </c>
      <c r="F49" s="93">
        <f t="shared" si="0"/>
        <v>270.10000000000002</v>
      </c>
      <c r="G49" s="93" t="s">
        <v>120</v>
      </c>
      <c r="J49" s="157" t="s">
        <v>164</v>
      </c>
      <c r="K49" s="44"/>
      <c r="L49" s="44">
        <f t="shared" si="2"/>
        <v>3588.0355000000004</v>
      </c>
      <c r="M49" s="44">
        <f t="shared" si="9"/>
        <v>1588.0355000000004</v>
      </c>
      <c r="N49" s="44"/>
      <c r="O49" s="44"/>
      <c r="P49" s="44"/>
    </row>
    <row r="50" spans="1:16">
      <c r="A50" s="157" t="s">
        <v>165</v>
      </c>
      <c r="B50" s="44">
        <v>5.7</v>
      </c>
      <c r="C50" s="44">
        <v>8.9</v>
      </c>
      <c r="D50" s="44">
        <v>4.0999999999999996</v>
      </c>
      <c r="E50" s="24">
        <f t="shared" si="1"/>
        <v>72.650000000000006</v>
      </c>
      <c r="F50" s="93">
        <f t="shared" si="0"/>
        <v>297.86500000000001</v>
      </c>
      <c r="G50" s="93" t="s">
        <v>120</v>
      </c>
      <c r="J50" s="157" t="s">
        <v>165</v>
      </c>
      <c r="K50" s="44"/>
      <c r="L50" s="44">
        <f t="shared" si="2"/>
        <v>3885.9005000000006</v>
      </c>
      <c r="M50" s="44">
        <f t="shared" si="9"/>
        <v>1885.9005000000004</v>
      </c>
      <c r="N50" s="44"/>
      <c r="O50" s="44"/>
      <c r="P50" s="44"/>
    </row>
    <row r="51" spans="1:16">
      <c r="A51" s="157" t="s">
        <v>166</v>
      </c>
      <c r="B51" s="44">
        <v>4.5999999999999996</v>
      </c>
      <c r="C51" s="44">
        <v>5.7</v>
      </c>
      <c r="D51" s="44">
        <v>3.9</v>
      </c>
      <c r="E51" s="24">
        <f t="shared" si="1"/>
        <v>52.7</v>
      </c>
      <c r="F51" s="93">
        <f t="shared" si="0"/>
        <v>205.53</v>
      </c>
      <c r="G51" s="93" t="s">
        <v>120</v>
      </c>
      <c r="J51" s="157" t="s">
        <v>166</v>
      </c>
      <c r="K51" s="44"/>
      <c r="L51" s="44">
        <f t="shared" si="2"/>
        <v>4091.4305000000008</v>
      </c>
      <c r="M51" s="44">
        <f t="shared" si="9"/>
        <v>2091.4305000000004</v>
      </c>
      <c r="N51" s="44"/>
      <c r="O51" s="44"/>
      <c r="P51" s="44"/>
    </row>
    <row r="52" spans="1:16">
      <c r="A52" s="157" t="s">
        <v>167</v>
      </c>
      <c r="B52" s="44">
        <v>5.3</v>
      </c>
      <c r="C52" s="44">
        <v>7.8</v>
      </c>
      <c r="D52" s="44">
        <v>3.9</v>
      </c>
      <c r="E52" s="24">
        <f t="shared" si="1"/>
        <v>65.649999999999991</v>
      </c>
      <c r="F52" s="93">
        <f t="shared" si="0"/>
        <v>256.03499999999997</v>
      </c>
      <c r="G52" s="93" t="s">
        <v>120</v>
      </c>
      <c r="J52" s="157" t="s">
        <v>167</v>
      </c>
      <c r="K52" s="44"/>
      <c r="L52" s="44">
        <f t="shared" si="2"/>
        <v>4347.4655000000012</v>
      </c>
      <c r="M52" s="44">
        <f t="shared" si="9"/>
        <v>2347.4655000000002</v>
      </c>
      <c r="N52" s="44"/>
      <c r="O52" s="44"/>
      <c r="P52" s="44"/>
    </row>
    <row r="53" spans="1:16">
      <c r="A53" s="157" t="s">
        <v>168</v>
      </c>
      <c r="B53" s="44"/>
      <c r="C53" s="44"/>
      <c r="D53" s="44"/>
      <c r="E53" s="24">
        <f t="shared" si="1"/>
        <v>0</v>
      </c>
      <c r="F53" s="93">
        <f t="shared" si="0"/>
        <v>0</v>
      </c>
      <c r="G53" s="44" t="s">
        <v>155</v>
      </c>
      <c r="J53" s="157" t="s">
        <v>168</v>
      </c>
      <c r="K53" s="44">
        <v>2000</v>
      </c>
      <c r="L53" s="44">
        <f t="shared" si="2"/>
        <v>4347.4655000000012</v>
      </c>
      <c r="M53" s="44">
        <f t="shared" si="9"/>
        <v>347.46550000000025</v>
      </c>
      <c r="N53" s="44"/>
      <c r="O53" s="44"/>
      <c r="P53" s="44"/>
    </row>
    <row r="54" spans="1:16">
      <c r="A54" s="157" t="s">
        <v>212</v>
      </c>
      <c r="B54" s="44"/>
      <c r="C54" s="44"/>
      <c r="D54" s="44"/>
      <c r="E54" s="24">
        <f t="shared" si="1"/>
        <v>0</v>
      </c>
      <c r="F54" s="93">
        <f t="shared" si="0"/>
        <v>0</v>
      </c>
      <c r="G54" s="44"/>
      <c r="J54" s="44"/>
      <c r="K54" s="44">
        <v>345</v>
      </c>
      <c r="L54" s="44">
        <f t="shared" si="2"/>
        <v>4347.4655000000012</v>
      </c>
      <c r="M54" s="44">
        <f t="shared" si="9"/>
        <v>2.4655000000002474</v>
      </c>
      <c r="N54" s="44"/>
      <c r="O54" s="44"/>
      <c r="P54" s="44"/>
    </row>
    <row r="55" spans="1:16">
      <c r="A55" s="157" t="s">
        <v>213</v>
      </c>
      <c r="B55" s="44"/>
      <c r="C55" s="44"/>
      <c r="D55" s="44"/>
      <c r="E55" s="24">
        <f t="shared" si="1"/>
        <v>0</v>
      </c>
      <c r="F55" s="93">
        <f t="shared" si="0"/>
        <v>0</v>
      </c>
      <c r="G55" s="44"/>
      <c r="J55" s="44"/>
      <c r="K55" s="44"/>
      <c r="L55" s="44"/>
      <c r="M55" s="44"/>
      <c r="N55" s="44"/>
      <c r="O55" s="44"/>
      <c r="P55" s="44"/>
    </row>
    <row r="56" spans="1:16">
      <c r="A56" s="157" t="s">
        <v>214</v>
      </c>
      <c r="B56" s="44"/>
      <c r="C56" s="44"/>
      <c r="D56" s="44"/>
      <c r="E56" s="24">
        <f t="shared" si="1"/>
        <v>0</v>
      </c>
      <c r="F56" s="93">
        <f t="shared" si="0"/>
        <v>0</v>
      </c>
      <c r="G56" s="44"/>
      <c r="J56" s="44"/>
      <c r="K56" s="44"/>
      <c r="L56" s="44"/>
      <c r="M56" s="44"/>
      <c r="N56" s="44"/>
      <c r="O56" s="44"/>
      <c r="P56" s="44"/>
    </row>
    <row r="57" spans="1:16">
      <c r="A57" s="157" t="s">
        <v>215</v>
      </c>
      <c r="B57" s="44"/>
      <c r="C57" s="44"/>
      <c r="D57" s="44"/>
      <c r="E57" s="24">
        <f t="shared" si="1"/>
        <v>0</v>
      </c>
      <c r="F57" s="93">
        <f t="shared" si="0"/>
        <v>0</v>
      </c>
      <c r="G57" s="44"/>
      <c r="J57" s="44"/>
      <c r="K57" s="44"/>
      <c r="L57" s="44"/>
      <c r="M57" s="44"/>
      <c r="N57" s="44"/>
      <c r="O57" s="44"/>
      <c r="P57" s="44"/>
    </row>
    <row r="58" spans="1:16">
      <c r="A58" s="157" t="s">
        <v>216</v>
      </c>
      <c r="B58" s="44"/>
      <c r="C58" s="44"/>
      <c r="D58" s="44"/>
      <c r="E58" s="24">
        <f t="shared" si="1"/>
        <v>0</v>
      </c>
      <c r="F58" s="93">
        <f t="shared" si="0"/>
        <v>0</v>
      </c>
      <c r="G58" s="44"/>
      <c r="J58" s="44"/>
      <c r="K58" s="44"/>
      <c r="L58" s="44"/>
      <c r="M58" s="44"/>
      <c r="N58" s="44"/>
      <c r="O58" s="44"/>
      <c r="P58" s="44"/>
    </row>
    <row r="59" spans="1:16">
      <c r="A59" s="157" t="s">
        <v>217</v>
      </c>
      <c r="B59" s="44"/>
      <c r="C59" s="44"/>
      <c r="D59" s="44"/>
      <c r="E59" s="24">
        <f t="shared" si="1"/>
        <v>0</v>
      </c>
      <c r="F59" s="44"/>
      <c r="G59" s="44"/>
      <c r="J59" s="44"/>
      <c r="K59" s="44"/>
      <c r="L59" s="44"/>
      <c r="M59" s="44"/>
      <c r="N59" s="44"/>
      <c r="O59" s="44"/>
      <c r="P59" s="44"/>
    </row>
    <row r="60" spans="1:16">
      <c r="A60" s="157" t="s">
        <v>218</v>
      </c>
      <c r="B60" s="44"/>
      <c r="C60" s="44"/>
      <c r="D60" s="44"/>
      <c r="E60" s="24">
        <f t="shared" si="1"/>
        <v>0</v>
      </c>
      <c r="F60" s="44"/>
      <c r="G60" s="44"/>
      <c r="J60" s="44"/>
      <c r="K60" s="44"/>
      <c r="L60" s="44"/>
      <c r="M60" s="44"/>
      <c r="N60" s="44"/>
      <c r="O60" s="44"/>
      <c r="P60" s="44"/>
    </row>
    <row r="61" spans="1:16">
      <c r="A61" s="157" t="s">
        <v>219</v>
      </c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  <c r="P61" s="44"/>
    </row>
    <row r="62" spans="1:16">
      <c r="A62" s="157" t="s">
        <v>220</v>
      </c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  <c r="P62" s="44"/>
    </row>
    <row r="63" spans="1:16">
      <c r="A63" s="157" t="s">
        <v>221</v>
      </c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  <c r="P63" s="44"/>
    </row>
    <row r="64" spans="1:16">
      <c r="A64" s="157" t="s">
        <v>222</v>
      </c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  <c r="P64" s="44"/>
    </row>
    <row r="65" spans="1:16">
      <c r="A65" s="157" t="s">
        <v>223</v>
      </c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  <c r="P65" s="44"/>
    </row>
    <row r="66" spans="1:16">
      <c r="A66" s="157" t="s">
        <v>224</v>
      </c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  <c r="P66" s="44"/>
    </row>
    <row r="67" spans="1:16">
      <c r="A67" s="157" t="s">
        <v>225</v>
      </c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  <c r="P67" s="44"/>
    </row>
    <row r="68" spans="1:16">
      <c r="A68" s="157" t="s">
        <v>226</v>
      </c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  <c r="P68" s="44"/>
    </row>
  </sheetData>
  <mergeCells count="1">
    <mergeCell ref="B2:G2"/>
  </mergeCells>
  <hyperlinks>
    <hyperlink ref="F5" location="'Customer Index'!A8" display="Customer Code"/>
    <hyperlink ref="G5" location="'Customer Index'!A29" display="Bas22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8"/>
  <sheetViews>
    <sheetView zoomScale="120" zoomScaleNormal="8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241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69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/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SUM(F8:F68)</f>
        <v>1463.1899999999998</v>
      </c>
      <c r="S8" s="44">
        <f>SUM(K8:K48)</f>
        <v>0</v>
      </c>
      <c r="T8" s="44">
        <f>(R8-S8)</f>
        <v>1463.1899999999998</v>
      </c>
      <c r="U8" s="44">
        <f>SUM(D8:D47)</f>
        <v>5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/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39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/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/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/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/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/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/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/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/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/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/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/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/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/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/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/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/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/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6">(M25+F26-K26)</f>
        <v>0</v>
      </c>
      <c r="N26" s="44"/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/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7">(M26+F27-K27)</f>
        <v>0</v>
      </c>
      <c r="N27" s="44"/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/>
      <c r="H28" s="20"/>
      <c r="I28" s="20"/>
      <c r="J28" s="62" t="s">
        <v>142</v>
      </c>
      <c r="K28" s="44"/>
      <c r="L28" s="44">
        <f t="shared" si="2"/>
        <v>0</v>
      </c>
      <c r="M28" s="44">
        <f t="shared" si="7"/>
        <v>0</v>
      </c>
      <c r="N28" s="44"/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/>
      <c r="H29" s="20"/>
      <c r="I29" s="20"/>
      <c r="J29" s="62" t="s">
        <v>143</v>
      </c>
      <c r="K29" s="44"/>
      <c r="L29" s="44">
        <f t="shared" si="2"/>
        <v>0</v>
      </c>
      <c r="M29" s="44">
        <f t="shared" si="7"/>
        <v>0</v>
      </c>
      <c r="N29" s="44"/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/>
      <c r="H30" s="20"/>
      <c r="I30" s="20"/>
      <c r="J30" s="62" t="s">
        <v>144</v>
      </c>
      <c r="K30" s="44"/>
      <c r="L30" s="44">
        <f t="shared" si="2"/>
        <v>0</v>
      </c>
      <c r="M30" s="44">
        <f t="shared" si="7"/>
        <v>0</v>
      </c>
      <c r="N30" s="44"/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/>
      <c r="H31" s="20"/>
      <c r="I31" s="20"/>
      <c r="J31" s="62" t="s">
        <v>145</v>
      </c>
      <c r="K31" s="44"/>
      <c r="L31" s="44">
        <f t="shared" si="2"/>
        <v>0</v>
      </c>
      <c r="M31" s="44">
        <f t="shared" si="7"/>
        <v>0</v>
      </c>
      <c r="N31" s="44"/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/>
      <c r="H32" s="20"/>
      <c r="I32" s="20"/>
      <c r="J32" s="62" t="s">
        <v>146</v>
      </c>
      <c r="K32" s="44"/>
      <c r="L32" s="44">
        <f t="shared" si="2"/>
        <v>0</v>
      </c>
      <c r="M32" s="44">
        <f t="shared" si="7"/>
        <v>0</v>
      </c>
      <c r="N32" s="44"/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/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/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/>
      <c r="H34" s="20"/>
      <c r="I34" s="20"/>
      <c r="J34" s="62" t="s">
        <v>148</v>
      </c>
      <c r="K34" s="44"/>
      <c r="L34" s="44">
        <f t="shared" si="2"/>
        <v>0</v>
      </c>
      <c r="M34" s="44">
        <f t="shared" si="7"/>
        <v>0</v>
      </c>
      <c r="N34" s="44"/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/>
      <c r="H35" s="20"/>
      <c r="I35" s="20"/>
      <c r="J35" s="62" t="s">
        <v>149</v>
      </c>
      <c r="K35" s="44"/>
      <c r="L35" s="44">
        <f t="shared" si="2"/>
        <v>0</v>
      </c>
      <c r="M35" s="44">
        <f t="shared" si="7"/>
        <v>0</v>
      </c>
      <c r="N35" s="44"/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/>
      <c r="H36" s="20"/>
      <c r="I36" s="20"/>
      <c r="J36" s="62" t="s">
        <v>150</v>
      </c>
      <c r="K36" s="44"/>
      <c r="L36" s="44">
        <f t="shared" si="2"/>
        <v>0</v>
      </c>
      <c r="M36" s="44">
        <f t="shared" si="7"/>
        <v>0</v>
      </c>
      <c r="N36" s="44"/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/>
      <c r="H37" s="20"/>
      <c r="I37" s="20"/>
      <c r="J37" s="62" t="s">
        <v>151</v>
      </c>
      <c r="K37" s="44"/>
      <c r="L37" s="44">
        <f t="shared" si="2"/>
        <v>0</v>
      </c>
      <c r="M37" s="44">
        <f t="shared" si="7"/>
        <v>0</v>
      </c>
      <c r="N37" s="44"/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/>
      <c r="H38" s="20"/>
      <c r="I38" s="20"/>
      <c r="J38" s="62" t="s">
        <v>152</v>
      </c>
      <c r="K38" s="44"/>
      <c r="L38" s="44">
        <f t="shared" si="2"/>
        <v>0</v>
      </c>
      <c r="M38" s="44">
        <f t="shared" si="7"/>
        <v>0</v>
      </c>
      <c r="N38" s="44"/>
      <c r="O38" s="44">
        <f t="shared" si="5"/>
        <v>0</v>
      </c>
      <c r="P38" s="44"/>
    </row>
    <row r="39" spans="1:16">
      <c r="A39" s="66" t="s">
        <v>153</v>
      </c>
      <c r="B39" s="68"/>
      <c r="C39" s="68"/>
      <c r="D39" s="68"/>
      <c r="E39" s="68">
        <f t="shared" si="1"/>
        <v>0</v>
      </c>
      <c r="F39" s="68">
        <f t="shared" si="0"/>
        <v>0</v>
      </c>
      <c r="G39" s="68"/>
      <c r="H39" s="20"/>
      <c r="I39" s="20"/>
      <c r="J39" s="62" t="s">
        <v>153</v>
      </c>
      <c r="K39" s="44"/>
      <c r="L39" s="44">
        <f t="shared" si="2"/>
        <v>0</v>
      </c>
      <c r="M39" s="44">
        <f t="shared" si="7"/>
        <v>0</v>
      </c>
      <c r="N39" s="44"/>
      <c r="O39" s="44">
        <f t="shared" si="5"/>
        <v>0</v>
      </c>
      <c r="P39" s="44"/>
    </row>
    <row r="40" spans="1:16">
      <c r="A40" s="96" t="s">
        <v>154</v>
      </c>
      <c r="B40" s="93"/>
      <c r="C40" s="93"/>
      <c r="D40" s="93"/>
      <c r="E40" s="24">
        <f t="shared" si="1"/>
        <v>0</v>
      </c>
      <c r="F40" s="93">
        <f t="shared" si="0"/>
        <v>0</v>
      </c>
      <c r="G40" s="93"/>
      <c r="H40" s="20"/>
      <c r="I40" s="20"/>
      <c r="J40" s="62" t="s">
        <v>154</v>
      </c>
      <c r="K40" s="44"/>
      <c r="L40" s="44">
        <f t="shared" si="2"/>
        <v>0</v>
      </c>
      <c r="M40" s="44">
        <f t="shared" ref="M40:M53" si="8">(M39+F40-K40)</f>
        <v>0</v>
      </c>
      <c r="N40" s="44"/>
      <c r="O40" s="44">
        <f t="shared" ref="O40:O42" si="9">(O39+D40)</f>
        <v>0</v>
      </c>
      <c r="P40" s="44"/>
    </row>
    <row r="41" spans="1:16">
      <c r="A41" s="96" t="s">
        <v>156</v>
      </c>
      <c r="B41" s="93"/>
      <c r="C41" s="93"/>
      <c r="D41" s="93"/>
      <c r="E41" s="24">
        <f t="shared" si="1"/>
        <v>0</v>
      </c>
      <c r="F41" s="93">
        <f t="shared" si="0"/>
        <v>0</v>
      </c>
      <c r="G41" s="93"/>
      <c r="H41" s="20"/>
      <c r="I41" s="20"/>
      <c r="J41" s="62" t="s">
        <v>156</v>
      </c>
      <c r="K41" s="155"/>
      <c r="L41" s="44">
        <f t="shared" si="2"/>
        <v>0</v>
      </c>
      <c r="M41" s="44">
        <f t="shared" si="8"/>
        <v>0</v>
      </c>
      <c r="N41" s="44"/>
      <c r="O41" s="44">
        <f t="shared" si="9"/>
        <v>0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/>
      <c r="H42" s="20"/>
      <c r="I42" s="20"/>
      <c r="J42" s="62" t="s">
        <v>157</v>
      </c>
      <c r="K42" s="155"/>
      <c r="L42" s="44">
        <f t="shared" si="2"/>
        <v>0</v>
      </c>
      <c r="M42" s="44">
        <f t="shared" si="8"/>
        <v>0</v>
      </c>
      <c r="N42" s="44"/>
      <c r="O42" s="44">
        <f t="shared" si="9"/>
        <v>0</v>
      </c>
      <c r="P42" s="44"/>
    </row>
    <row r="43" spans="1:16">
      <c r="A43" s="96" t="s">
        <v>158</v>
      </c>
      <c r="B43" s="93"/>
      <c r="C43" s="93"/>
      <c r="D43" s="93"/>
      <c r="E43" s="24">
        <f t="shared" si="1"/>
        <v>0</v>
      </c>
      <c r="F43" s="93">
        <f t="shared" si="0"/>
        <v>0</v>
      </c>
      <c r="G43" s="93"/>
      <c r="H43" s="20"/>
      <c r="I43" s="20"/>
      <c r="J43" s="62" t="s">
        <v>158</v>
      </c>
      <c r="K43" s="44"/>
      <c r="L43" s="44">
        <f t="shared" si="2"/>
        <v>0</v>
      </c>
      <c r="M43" s="44">
        <f t="shared" si="8"/>
        <v>0</v>
      </c>
      <c r="N43" s="44"/>
      <c r="O43" s="44">
        <f t="shared" ref="O43:O53" si="10">(O42+D43)</f>
        <v>0</v>
      </c>
      <c r="P43" s="44"/>
    </row>
    <row r="44" spans="1:16">
      <c r="A44" s="96" t="s">
        <v>159</v>
      </c>
      <c r="B44" s="93"/>
      <c r="C44" s="93"/>
      <c r="D44" s="93"/>
      <c r="E44" s="24">
        <f t="shared" si="1"/>
        <v>0</v>
      </c>
      <c r="F44" s="93">
        <f t="shared" si="0"/>
        <v>0</v>
      </c>
      <c r="G44" s="93"/>
      <c r="H44" s="20"/>
      <c r="I44" s="20"/>
      <c r="J44" s="62" t="s">
        <v>159</v>
      </c>
      <c r="K44" s="44"/>
      <c r="L44" s="44">
        <f t="shared" si="2"/>
        <v>0</v>
      </c>
      <c r="M44" s="44">
        <f t="shared" si="8"/>
        <v>0</v>
      </c>
      <c r="N44" s="44"/>
      <c r="O44" s="44">
        <f t="shared" si="10"/>
        <v>0</v>
      </c>
      <c r="P44" s="44"/>
    </row>
    <row r="45" spans="1:16">
      <c r="A45" s="96" t="s">
        <v>160</v>
      </c>
      <c r="B45" s="93"/>
      <c r="C45" s="93"/>
      <c r="D45" s="93"/>
      <c r="E45" s="24">
        <f t="shared" si="1"/>
        <v>0</v>
      </c>
      <c r="F45" s="93">
        <f t="shared" si="0"/>
        <v>0</v>
      </c>
      <c r="G45" s="93"/>
      <c r="H45" s="20"/>
      <c r="I45" s="20"/>
      <c r="J45" s="62" t="s">
        <v>160</v>
      </c>
      <c r="K45" s="44"/>
      <c r="L45" s="44">
        <f t="shared" si="2"/>
        <v>0</v>
      </c>
      <c r="M45" s="44">
        <f t="shared" si="8"/>
        <v>0</v>
      </c>
      <c r="N45" s="44"/>
      <c r="O45" s="44">
        <f t="shared" si="10"/>
        <v>0</v>
      </c>
      <c r="P45" s="44"/>
    </row>
    <row r="46" spans="1:16">
      <c r="A46" s="96" t="s">
        <v>161</v>
      </c>
      <c r="B46" s="93">
        <v>7.2</v>
      </c>
      <c r="C46" s="93">
        <v>10</v>
      </c>
      <c r="D46" s="93">
        <v>2</v>
      </c>
      <c r="E46" s="24">
        <f t="shared" si="1"/>
        <v>86.800000000000011</v>
      </c>
      <c r="F46" s="93">
        <f t="shared" si="0"/>
        <v>173.60000000000002</v>
      </c>
      <c r="G46" s="93"/>
      <c r="H46" s="20"/>
      <c r="I46" s="20"/>
      <c r="J46" s="62" t="s">
        <v>161</v>
      </c>
      <c r="K46" s="44"/>
      <c r="L46" s="44">
        <f t="shared" si="2"/>
        <v>173.60000000000002</v>
      </c>
      <c r="M46" s="44">
        <f t="shared" si="8"/>
        <v>173.60000000000002</v>
      </c>
      <c r="N46" s="44"/>
      <c r="O46" s="44">
        <f t="shared" si="10"/>
        <v>2</v>
      </c>
      <c r="P46" s="44"/>
    </row>
    <row r="47" spans="1:16">
      <c r="A47" s="96" t="s">
        <v>162</v>
      </c>
      <c r="B47" s="99">
        <v>6.8</v>
      </c>
      <c r="C47" s="99">
        <v>9.9</v>
      </c>
      <c r="D47" s="99">
        <v>3</v>
      </c>
      <c r="E47" s="24">
        <f t="shared" si="1"/>
        <v>83.8</v>
      </c>
      <c r="F47" s="93">
        <f t="shared" si="0"/>
        <v>251.39999999999998</v>
      </c>
      <c r="G47" s="93" t="s">
        <v>120</v>
      </c>
      <c r="H47" s="20"/>
      <c r="I47" s="20"/>
      <c r="J47" s="62" t="s">
        <v>162</v>
      </c>
      <c r="K47" s="86"/>
      <c r="L47" s="44">
        <f t="shared" si="2"/>
        <v>425</v>
      </c>
      <c r="M47" s="44">
        <f t="shared" si="8"/>
        <v>425</v>
      </c>
      <c r="N47" s="86"/>
      <c r="O47" s="44">
        <f t="shared" si="10"/>
        <v>5</v>
      </c>
      <c r="P47" s="86"/>
    </row>
    <row r="48" spans="1:16">
      <c r="A48" s="157" t="s">
        <v>163</v>
      </c>
      <c r="B48" s="44">
        <v>6.8</v>
      </c>
      <c r="C48" s="44">
        <v>9.6999999999999993</v>
      </c>
      <c r="D48" s="44">
        <v>3.1</v>
      </c>
      <c r="E48" s="24">
        <f t="shared" si="1"/>
        <v>83</v>
      </c>
      <c r="F48" s="93">
        <f t="shared" si="0"/>
        <v>257.3</v>
      </c>
      <c r="G48" s="93" t="s">
        <v>120</v>
      </c>
      <c r="J48" s="79" t="s">
        <v>163</v>
      </c>
      <c r="K48" s="44"/>
      <c r="L48" s="44">
        <f t="shared" si="2"/>
        <v>682.3</v>
      </c>
      <c r="M48" s="44">
        <f t="shared" si="8"/>
        <v>682.3</v>
      </c>
      <c r="N48" s="44"/>
      <c r="O48" s="44">
        <f t="shared" si="10"/>
        <v>8.1</v>
      </c>
      <c r="P48" s="44"/>
    </row>
    <row r="49" spans="1:16">
      <c r="A49" s="157" t="s">
        <v>164</v>
      </c>
      <c r="B49" s="44">
        <v>6.9</v>
      </c>
      <c r="C49" s="44">
        <v>9.8000000000000007</v>
      </c>
      <c r="D49" s="44">
        <v>2.1</v>
      </c>
      <c r="E49" s="24">
        <f t="shared" si="1"/>
        <v>84.050000000000011</v>
      </c>
      <c r="F49" s="93">
        <f t="shared" si="0"/>
        <v>176.50500000000002</v>
      </c>
      <c r="G49" s="93" t="s">
        <v>120</v>
      </c>
      <c r="J49" s="157" t="s">
        <v>164</v>
      </c>
      <c r="K49" s="44"/>
      <c r="L49" s="44">
        <f t="shared" si="2"/>
        <v>858.80499999999995</v>
      </c>
      <c r="M49" s="44">
        <f t="shared" si="8"/>
        <v>858.80499999999995</v>
      </c>
      <c r="N49" s="44"/>
      <c r="O49" s="44">
        <f t="shared" si="10"/>
        <v>10.199999999999999</v>
      </c>
      <c r="P49" s="44"/>
    </row>
    <row r="50" spans="1:16">
      <c r="A50" s="157" t="s">
        <v>165</v>
      </c>
      <c r="B50" s="44">
        <v>6.9</v>
      </c>
      <c r="C50" s="44">
        <v>9.6999999999999993</v>
      </c>
      <c r="D50" s="44">
        <v>2.9</v>
      </c>
      <c r="E50" s="24">
        <f t="shared" si="1"/>
        <v>83.65</v>
      </c>
      <c r="F50" s="93">
        <f t="shared" si="0"/>
        <v>242.58500000000001</v>
      </c>
      <c r="G50" s="93" t="s">
        <v>120</v>
      </c>
      <c r="J50" s="157" t="s">
        <v>165</v>
      </c>
      <c r="K50" s="44"/>
      <c r="L50" s="44">
        <f t="shared" si="2"/>
        <v>1101.3899999999999</v>
      </c>
      <c r="M50" s="44">
        <f t="shared" si="8"/>
        <v>1101.3899999999999</v>
      </c>
      <c r="N50" s="44"/>
      <c r="O50" s="44">
        <f t="shared" si="10"/>
        <v>13.1</v>
      </c>
      <c r="P50" s="44"/>
    </row>
    <row r="51" spans="1:16">
      <c r="A51" s="157" t="s">
        <v>166</v>
      </c>
      <c r="B51" s="44">
        <v>5.9</v>
      </c>
      <c r="C51" s="44">
        <v>7.5</v>
      </c>
      <c r="D51" s="44">
        <v>2.4</v>
      </c>
      <c r="E51" s="24">
        <f t="shared" si="1"/>
        <v>68.349999999999994</v>
      </c>
      <c r="F51" s="93">
        <f t="shared" si="0"/>
        <v>164.04</v>
      </c>
      <c r="G51" s="93" t="s">
        <v>120</v>
      </c>
      <c r="J51" s="157" t="s">
        <v>166</v>
      </c>
      <c r="K51" s="44"/>
      <c r="L51" s="44">
        <f t="shared" si="2"/>
        <v>1265.4299999999998</v>
      </c>
      <c r="M51" s="44">
        <f t="shared" si="8"/>
        <v>1265.4299999999998</v>
      </c>
      <c r="N51" s="44"/>
      <c r="O51" s="44">
        <f t="shared" si="10"/>
        <v>15.5</v>
      </c>
      <c r="P51" s="44"/>
    </row>
    <row r="52" spans="1:16">
      <c r="A52" s="165" t="s">
        <v>167</v>
      </c>
      <c r="B52" s="166"/>
      <c r="C52" s="166"/>
      <c r="D52" s="166"/>
      <c r="E52" s="156">
        <f t="shared" si="1"/>
        <v>0</v>
      </c>
      <c r="F52" s="156">
        <f t="shared" si="0"/>
        <v>0</v>
      </c>
      <c r="G52" s="166" t="s">
        <v>155</v>
      </c>
      <c r="J52" s="160" t="s">
        <v>167</v>
      </c>
      <c r="K52" s="86"/>
      <c r="L52" s="44">
        <f t="shared" si="2"/>
        <v>1265.4299999999998</v>
      </c>
      <c r="M52" s="44">
        <f t="shared" si="8"/>
        <v>1265.4299999999998</v>
      </c>
      <c r="N52" s="86"/>
      <c r="O52" s="44">
        <f t="shared" si="10"/>
        <v>15.5</v>
      </c>
      <c r="P52" s="86"/>
    </row>
    <row r="53" spans="1:16">
      <c r="A53" s="88" t="s">
        <v>168</v>
      </c>
      <c r="B53" s="87">
        <v>7.2</v>
      </c>
      <c r="C53" s="87">
        <v>8.9</v>
      </c>
      <c r="D53" s="87">
        <v>2.4</v>
      </c>
      <c r="E53" s="87">
        <f t="shared" si="1"/>
        <v>82.4</v>
      </c>
      <c r="F53" s="153">
        <f t="shared" si="0"/>
        <v>197.76000000000002</v>
      </c>
      <c r="G53" s="87" t="s">
        <v>120</v>
      </c>
      <c r="J53" s="88" t="s">
        <v>168</v>
      </c>
      <c r="K53" s="87"/>
      <c r="L53" s="44">
        <f t="shared" si="2"/>
        <v>1463.1899999999998</v>
      </c>
      <c r="M53" s="44">
        <f t="shared" si="8"/>
        <v>1463.1899999999998</v>
      </c>
      <c r="N53" s="87"/>
      <c r="O53" s="44">
        <f t="shared" si="10"/>
        <v>17.899999999999999</v>
      </c>
      <c r="P53" s="87"/>
    </row>
    <row r="54" spans="1:16">
      <c r="A54" s="83"/>
      <c r="B54" s="20"/>
      <c r="C54" s="20"/>
      <c r="D54" s="20"/>
      <c r="E54" s="20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83"/>
      <c r="B55" s="20"/>
      <c r="C55" s="20"/>
      <c r="D55" s="20"/>
      <c r="E55" s="20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20"/>
      <c r="F56" s="164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164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164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164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>
      <c r="A67" s="8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>
      <c r="A68" s="8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</sheetData>
  <mergeCells count="1">
    <mergeCell ref="B2:G2"/>
  </mergeCells>
  <hyperlinks>
    <hyperlink ref="F5" location="'Customer Index'!A8" display="Customer Code"/>
    <hyperlink ref="G5" location="'Customer Index'!A30" display="Bas23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8"/>
  <sheetViews>
    <sheetView topLeftCell="A5" zoomScale="85" zoomScaleNormal="8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242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71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45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SUM(F8:F68)</f>
        <v>1478.9549999999999</v>
      </c>
      <c r="S8" s="44">
        <f>SUM(K8:K48)</f>
        <v>0</v>
      </c>
      <c r="T8" s="44">
        <f>(R8-S8)</f>
        <v>1478.9549999999999</v>
      </c>
      <c r="U8" s="44">
        <f>SUM(D8:D47)</f>
        <v>26</v>
      </c>
      <c r="V8" s="44"/>
    </row>
    <row r="9" spans="1:22">
      <c r="A9" s="62" t="s">
        <v>121</v>
      </c>
      <c r="B9" s="24"/>
      <c r="C9" s="24"/>
      <c r="D9" s="24"/>
      <c r="E9" s="24">
        <f t="shared" ref="E9:E45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4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39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6">(M25+F26-K26)</f>
        <v>0</v>
      </c>
      <c r="N26" s="44"/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7">(M26+F27-K27)</f>
        <v>0</v>
      </c>
      <c r="N27" s="44"/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7"/>
        <v>0</v>
      </c>
      <c r="N28" s="44"/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7"/>
        <v>0</v>
      </c>
      <c r="N29" s="44"/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7"/>
        <v>0</v>
      </c>
      <c r="N30" s="44"/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7"/>
        <v>0</v>
      </c>
      <c r="N31" s="44"/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7"/>
        <v>0</v>
      </c>
      <c r="N32" s="44"/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/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7"/>
        <v>0</v>
      </c>
      <c r="N34" s="44"/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7"/>
        <v>0</v>
      </c>
      <c r="N35" s="44"/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7"/>
        <v>0</v>
      </c>
      <c r="N36" s="44"/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7"/>
        <v>0</v>
      </c>
      <c r="N37" s="44"/>
      <c r="O37" s="44">
        <f t="shared" si="5"/>
        <v>0</v>
      </c>
      <c r="P37" s="44"/>
    </row>
    <row r="38" spans="1:16">
      <c r="A38" s="96" t="s">
        <v>152</v>
      </c>
      <c r="B38" s="93">
        <v>4.3</v>
      </c>
      <c r="C38" s="93">
        <v>9</v>
      </c>
      <c r="D38" s="93">
        <v>3.3</v>
      </c>
      <c r="E38" s="24">
        <f t="shared" si="1"/>
        <v>63.95</v>
      </c>
      <c r="F38" s="93">
        <f t="shared" si="0"/>
        <v>211.035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211.035</v>
      </c>
      <c r="M38" s="44">
        <f t="shared" si="7"/>
        <v>211.035</v>
      </c>
      <c r="N38" s="44"/>
      <c r="O38" s="44">
        <f t="shared" si="5"/>
        <v>3.3</v>
      </c>
      <c r="P38" s="44"/>
    </row>
    <row r="39" spans="1:16">
      <c r="A39" s="96" t="s">
        <v>153</v>
      </c>
      <c r="B39" s="93">
        <v>4.3</v>
      </c>
      <c r="C39" s="93">
        <v>8</v>
      </c>
      <c r="D39" s="93">
        <v>3.3</v>
      </c>
      <c r="E39" s="93">
        <f t="shared" si="1"/>
        <v>59.95</v>
      </c>
      <c r="F39" s="93">
        <f t="shared" si="0"/>
        <v>197.83500000000001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408.87</v>
      </c>
      <c r="M39" s="44">
        <f t="shared" si="7"/>
        <v>408.87</v>
      </c>
      <c r="N39" s="44"/>
      <c r="O39" s="44">
        <f t="shared" si="5"/>
        <v>6.6</v>
      </c>
      <c r="P39" s="44"/>
    </row>
    <row r="40" spans="1:16">
      <c r="A40" s="96" t="s">
        <v>153</v>
      </c>
      <c r="B40" s="93">
        <v>4.7</v>
      </c>
      <c r="C40" s="93">
        <v>7.9</v>
      </c>
      <c r="D40" s="93">
        <v>2</v>
      </c>
      <c r="E40" s="24">
        <f t="shared" si="1"/>
        <v>62.150000000000006</v>
      </c>
      <c r="F40" s="93">
        <f t="shared" si="0"/>
        <v>124.30000000000001</v>
      </c>
      <c r="G40" s="93" t="s">
        <v>120</v>
      </c>
      <c r="H40" s="20"/>
      <c r="I40" s="20"/>
      <c r="J40" s="62" t="s">
        <v>153</v>
      </c>
      <c r="K40" s="44"/>
      <c r="L40" s="44">
        <f t="shared" si="2"/>
        <v>533.17000000000007</v>
      </c>
      <c r="M40" s="44">
        <f>(M39+F40-K40)</f>
        <v>533.17000000000007</v>
      </c>
      <c r="N40" s="44"/>
      <c r="O40" s="44">
        <f t="shared" ref="O40:O42" si="8">(O39+D40)</f>
        <v>8.6</v>
      </c>
      <c r="P40" s="44"/>
    </row>
    <row r="41" spans="1:16">
      <c r="A41" s="96" t="s">
        <v>154</v>
      </c>
      <c r="B41" s="93">
        <v>4.2</v>
      </c>
      <c r="C41" s="93">
        <v>8.4</v>
      </c>
      <c r="D41" s="93">
        <v>3.1</v>
      </c>
      <c r="E41" s="24">
        <f t="shared" si="1"/>
        <v>60.900000000000006</v>
      </c>
      <c r="F41" s="93">
        <f t="shared" si="0"/>
        <v>188.79000000000002</v>
      </c>
      <c r="G41" s="93"/>
      <c r="H41" s="20"/>
      <c r="I41" s="20"/>
      <c r="J41" s="62" t="s">
        <v>154</v>
      </c>
      <c r="K41" s="155"/>
      <c r="L41" s="44">
        <f t="shared" si="2"/>
        <v>721.96</v>
      </c>
      <c r="N41" s="44"/>
      <c r="O41" s="44">
        <f t="shared" si="8"/>
        <v>11.7</v>
      </c>
      <c r="P41" s="44"/>
    </row>
    <row r="42" spans="1:16">
      <c r="A42" s="96" t="s">
        <v>154</v>
      </c>
      <c r="B42" s="93">
        <v>4.5999999999999996</v>
      </c>
      <c r="C42" s="93">
        <v>8.1</v>
      </c>
      <c r="D42" s="93">
        <v>2.1</v>
      </c>
      <c r="E42" s="24">
        <f t="shared" si="1"/>
        <v>62.3</v>
      </c>
      <c r="F42" s="93">
        <f t="shared" si="0"/>
        <v>130.83000000000001</v>
      </c>
      <c r="G42" s="93"/>
      <c r="H42" s="20"/>
      <c r="I42" s="20"/>
      <c r="J42" s="62" t="s">
        <v>154</v>
      </c>
      <c r="K42" s="155"/>
      <c r="L42" s="44">
        <f t="shared" si="2"/>
        <v>852.79000000000008</v>
      </c>
      <c r="M42" s="64"/>
      <c r="N42" s="44"/>
      <c r="O42" s="44">
        <f t="shared" si="8"/>
        <v>13.799999999999999</v>
      </c>
      <c r="P42" s="44"/>
    </row>
    <row r="43" spans="1:16">
      <c r="A43" s="96" t="s">
        <v>156</v>
      </c>
      <c r="B43" s="93">
        <v>3.1</v>
      </c>
      <c r="C43" s="93">
        <v>6</v>
      </c>
      <c r="D43" s="93">
        <v>6.1</v>
      </c>
      <c r="E43" s="24">
        <f t="shared" si="1"/>
        <v>44.150000000000006</v>
      </c>
      <c r="F43" s="93">
        <f t="shared" si="0"/>
        <v>269.315</v>
      </c>
      <c r="G43" s="93"/>
      <c r="H43" s="20"/>
      <c r="I43" s="20"/>
      <c r="J43" s="62" t="s">
        <v>156</v>
      </c>
      <c r="K43" s="44"/>
      <c r="L43" s="44">
        <f t="shared" si="2"/>
        <v>1122.105</v>
      </c>
      <c r="M43" s="44"/>
      <c r="N43" s="44"/>
      <c r="O43" s="44">
        <f t="shared" ref="O43:O44" si="9">(O42+D43)</f>
        <v>19.899999999999999</v>
      </c>
      <c r="P43" s="44"/>
    </row>
    <row r="44" spans="1:16">
      <c r="A44" s="96" t="s">
        <v>157</v>
      </c>
      <c r="B44" s="93">
        <v>4.2</v>
      </c>
      <c r="C44" s="93">
        <v>7.8</v>
      </c>
      <c r="D44" s="93">
        <v>6.1</v>
      </c>
      <c r="E44" s="24">
        <f t="shared" si="1"/>
        <v>58.5</v>
      </c>
      <c r="F44" s="93">
        <f t="shared" si="0"/>
        <v>356.84999999999997</v>
      </c>
      <c r="G44" s="93"/>
      <c r="H44" s="20"/>
      <c r="I44" s="20"/>
      <c r="J44" s="62" t="s">
        <v>157</v>
      </c>
      <c r="K44" s="44"/>
      <c r="L44" s="44">
        <f>(L43+F44)</f>
        <v>1478.9549999999999</v>
      </c>
      <c r="M44" s="44"/>
      <c r="N44" s="44"/>
      <c r="O44" s="44">
        <f t="shared" si="9"/>
        <v>26</v>
      </c>
      <c r="P44" s="44"/>
    </row>
    <row r="45" spans="1:16">
      <c r="A45" s="96" t="s">
        <v>158</v>
      </c>
      <c r="B45" s="93"/>
      <c r="C45" s="93"/>
      <c r="D45" s="93"/>
      <c r="E45" s="24">
        <f t="shared" si="1"/>
        <v>0</v>
      </c>
      <c r="F45" s="93">
        <f t="shared" si="0"/>
        <v>0</v>
      </c>
      <c r="G45" s="93"/>
      <c r="H45" s="20"/>
      <c r="I45" s="20"/>
      <c r="J45" s="62" t="s">
        <v>158</v>
      </c>
      <c r="K45" s="44"/>
      <c r="L45" s="44"/>
      <c r="M45" s="44"/>
      <c r="N45" s="44"/>
      <c r="O45" s="44"/>
      <c r="P45" s="44"/>
    </row>
    <row r="46" spans="1:16">
      <c r="A46" s="96" t="s">
        <v>159</v>
      </c>
      <c r="B46" s="93"/>
      <c r="C46" s="93"/>
      <c r="D46" s="93"/>
      <c r="E46" s="24"/>
      <c r="F46" s="93"/>
      <c r="G46" s="93"/>
      <c r="H46" s="20"/>
      <c r="I46" s="20"/>
      <c r="J46" s="62" t="s">
        <v>159</v>
      </c>
      <c r="K46" s="44"/>
      <c r="L46" s="44"/>
      <c r="M46" s="44"/>
      <c r="N46" s="44"/>
      <c r="O46" s="44"/>
      <c r="P46" s="44"/>
    </row>
    <row r="47" spans="1:16">
      <c r="A47" s="96" t="s">
        <v>160</v>
      </c>
      <c r="B47" s="99"/>
      <c r="C47" s="99"/>
      <c r="D47" s="99"/>
      <c r="E47" s="80"/>
      <c r="F47" s="99"/>
      <c r="G47" s="99"/>
      <c r="H47" s="20"/>
      <c r="I47" s="20"/>
      <c r="J47" s="62" t="s">
        <v>160</v>
      </c>
      <c r="K47" s="86"/>
      <c r="L47" s="86"/>
      <c r="M47" s="86"/>
      <c r="N47" s="86"/>
      <c r="O47" s="86"/>
      <c r="P47" s="86"/>
    </row>
    <row r="48" spans="1:16">
      <c r="A48" s="96" t="s">
        <v>161</v>
      </c>
      <c r="B48" s="44"/>
      <c r="C48" s="44"/>
      <c r="D48" s="44"/>
      <c r="E48" s="44"/>
      <c r="F48" s="44"/>
      <c r="G48" s="44"/>
      <c r="J48" s="62" t="s">
        <v>161</v>
      </c>
      <c r="K48" s="44"/>
      <c r="L48" s="44"/>
      <c r="M48" s="44"/>
      <c r="N48" s="44"/>
      <c r="O48" s="44"/>
      <c r="P48" s="44"/>
    </row>
    <row r="49" spans="1:16">
      <c r="A49" s="96" t="s">
        <v>162</v>
      </c>
      <c r="B49" s="44"/>
      <c r="C49" s="44"/>
      <c r="D49" s="44"/>
      <c r="E49" s="44"/>
      <c r="F49" s="44"/>
      <c r="G49" s="44"/>
      <c r="J49" s="62" t="s">
        <v>162</v>
      </c>
      <c r="K49" s="44"/>
      <c r="L49" s="44"/>
      <c r="M49" s="44"/>
      <c r="N49" s="44"/>
      <c r="O49" s="44"/>
      <c r="P49" s="44"/>
    </row>
    <row r="50" spans="1:16">
      <c r="A50" s="96" t="s">
        <v>163</v>
      </c>
      <c r="B50" s="44"/>
      <c r="C50" s="44"/>
      <c r="D50" s="44"/>
      <c r="E50" s="44"/>
      <c r="F50" s="44"/>
      <c r="G50" s="44"/>
      <c r="J50" s="44"/>
      <c r="K50" s="44"/>
      <c r="L50" s="44"/>
      <c r="M50" s="44"/>
      <c r="N50" s="44"/>
      <c r="O50" s="44"/>
      <c r="P50" s="44"/>
    </row>
    <row r="51" spans="1:16">
      <c r="A51" s="96" t="s">
        <v>164</v>
      </c>
      <c r="B51" s="44"/>
      <c r="C51" s="44"/>
      <c r="D51" s="44"/>
      <c r="E51" s="44"/>
      <c r="F51" s="44"/>
      <c r="G51" s="44"/>
      <c r="J51" s="44"/>
      <c r="K51" s="44"/>
      <c r="L51" s="44"/>
      <c r="M51" s="44"/>
      <c r="N51" s="44"/>
      <c r="O51" s="44"/>
      <c r="P51" s="44"/>
    </row>
    <row r="52" spans="1:16">
      <c r="A52" s="96" t="s">
        <v>165</v>
      </c>
      <c r="B52" s="44"/>
      <c r="C52" s="44"/>
      <c r="D52" s="44"/>
      <c r="E52" s="44"/>
      <c r="F52" s="44"/>
      <c r="G52" s="44"/>
      <c r="J52" s="44"/>
      <c r="K52" s="44"/>
      <c r="L52" s="44"/>
      <c r="M52" s="44"/>
      <c r="N52" s="44"/>
      <c r="O52" s="44"/>
      <c r="P52" s="44"/>
    </row>
    <row r="53" spans="1:16">
      <c r="A53" s="96" t="s">
        <v>166</v>
      </c>
      <c r="B53" s="44"/>
      <c r="C53" s="44"/>
      <c r="D53" s="44"/>
      <c r="E53" s="44"/>
      <c r="F53" s="44"/>
      <c r="G53" s="44"/>
      <c r="J53" s="44"/>
      <c r="K53" s="44"/>
      <c r="L53" s="44"/>
      <c r="M53" s="44"/>
      <c r="N53" s="44"/>
      <c r="O53" s="44"/>
      <c r="P53" s="44"/>
    </row>
    <row r="54" spans="1:16">
      <c r="A54" s="157"/>
      <c r="B54" s="44"/>
      <c r="C54" s="44"/>
      <c r="D54" s="44"/>
      <c r="E54" s="44"/>
      <c r="F54" s="44"/>
      <c r="G54" s="44"/>
      <c r="J54" s="44"/>
      <c r="K54" s="44"/>
      <c r="L54" s="44"/>
      <c r="M54" s="44"/>
      <c r="N54" s="44"/>
      <c r="O54" s="44"/>
      <c r="P54" s="44"/>
    </row>
    <row r="55" spans="1:16">
      <c r="A55" s="157"/>
      <c r="B55" s="44"/>
      <c r="C55" s="44"/>
      <c r="D55" s="44"/>
      <c r="E55" s="44"/>
      <c r="F55" s="44"/>
      <c r="G55" s="44"/>
      <c r="J55" s="44"/>
      <c r="K55" s="44"/>
      <c r="L55" s="44"/>
      <c r="M55" s="44"/>
      <c r="N55" s="44"/>
      <c r="O55" s="44"/>
      <c r="P55" s="44"/>
    </row>
    <row r="56" spans="1:16">
      <c r="A56" s="157"/>
      <c r="B56" s="44"/>
      <c r="C56" s="44"/>
      <c r="D56" s="44"/>
      <c r="E56" s="44"/>
      <c r="F56" s="44"/>
      <c r="G56" s="44"/>
      <c r="J56" s="44"/>
      <c r="K56" s="44"/>
      <c r="L56" s="44"/>
      <c r="M56" s="44"/>
      <c r="N56" s="44"/>
      <c r="O56" s="44"/>
      <c r="P56" s="44"/>
    </row>
    <row r="57" spans="1:16">
      <c r="A57" s="157"/>
      <c r="B57" s="44"/>
      <c r="C57" s="44"/>
      <c r="D57" s="44"/>
      <c r="E57" s="44"/>
      <c r="F57" s="44"/>
      <c r="G57" s="44"/>
      <c r="J57" s="44"/>
      <c r="K57" s="44"/>
      <c r="L57" s="44"/>
      <c r="M57" s="44"/>
      <c r="N57" s="44"/>
      <c r="O57" s="44"/>
      <c r="P57" s="44"/>
    </row>
    <row r="58" spans="1:16">
      <c r="A58" s="157"/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  <c r="P58" s="44"/>
    </row>
    <row r="59" spans="1:16">
      <c r="A59" s="157"/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  <c r="P59" s="44"/>
    </row>
    <row r="60" spans="1:16">
      <c r="A60" s="157"/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  <c r="P60" s="44"/>
    </row>
    <row r="61" spans="1:16">
      <c r="A61" s="157"/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  <c r="P61" s="44"/>
    </row>
    <row r="62" spans="1:16">
      <c r="A62" s="157"/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  <c r="P62" s="44"/>
    </row>
    <row r="63" spans="1:16">
      <c r="A63" s="157"/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  <c r="P63" s="44"/>
    </row>
    <row r="64" spans="1:16">
      <c r="A64" s="157"/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  <c r="P64" s="44"/>
    </row>
    <row r="65" spans="1:16">
      <c r="A65" s="157"/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  <c r="P65" s="44"/>
    </row>
    <row r="66" spans="1:16">
      <c r="A66" s="157"/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  <c r="P66" s="44"/>
    </row>
    <row r="67" spans="1:16">
      <c r="A67" s="157"/>
      <c r="B67" s="44"/>
      <c r="C67" s="44"/>
      <c r="D67" s="44"/>
      <c r="E67" s="44"/>
      <c r="F67" s="44"/>
      <c r="G67" s="44"/>
      <c r="J67" s="44"/>
      <c r="K67" s="44"/>
      <c r="L67" s="44"/>
      <c r="M67" s="44"/>
      <c r="N67" s="44"/>
      <c r="O67" s="44"/>
      <c r="P67" s="44"/>
    </row>
    <row r="68" spans="1:16">
      <c r="A68" s="157"/>
      <c r="B68" s="44"/>
      <c r="C68" s="44"/>
      <c r="D68" s="44"/>
      <c r="E68" s="44"/>
      <c r="F68" s="44"/>
      <c r="G68" s="44"/>
      <c r="J68" s="44"/>
      <c r="K68" s="44"/>
      <c r="L68" s="44"/>
      <c r="M68" s="44"/>
      <c r="N68" s="44"/>
      <c r="O68" s="44"/>
      <c r="P68" s="44"/>
    </row>
  </sheetData>
  <mergeCells count="1">
    <mergeCell ref="B2:G2"/>
  </mergeCells>
  <hyperlinks>
    <hyperlink ref="F5" location="'Customer Index'!A8" display="Customer Code"/>
    <hyperlink ref="G5" location="'Customer Index'!A31" display="Bas03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243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73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2487.5049999999997</v>
      </c>
      <c r="S8" s="44">
        <f>SUM(K8:K46)</f>
        <v>0</v>
      </c>
      <c r="T8" s="44">
        <f>(R8-S8)</f>
        <v>2487.5049999999997</v>
      </c>
      <c r="U8" s="44">
        <f>SUM(D8:D45)</f>
        <v>20.2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37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/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/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6">(M25+F26-K26)</f>
        <v>0</v>
      </c>
      <c r="N26" s="44"/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53" si="7">(M26+F27-K27)</f>
        <v>0</v>
      </c>
      <c r="N27" s="44"/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7"/>
        <v>0</v>
      </c>
      <c r="N28" s="44"/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7"/>
        <v>0</v>
      </c>
      <c r="N29" s="44"/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7"/>
        <v>0</v>
      </c>
      <c r="N30" s="44"/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7"/>
        <v>0</v>
      </c>
      <c r="N31" s="44"/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7"/>
        <v>0</v>
      </c>
      <c r="N32" s="44"/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/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7"/>
        <v>0</v>
      </c>
      <c r="N34" s="44"/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7"/>
        <v>0</v>
      </c>
      <c r="N35" s="44"/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7"/>
        <v>0</v>
      </c>
      <c r="N36" s="44"/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7"/>
        <v>0</v>
      </c>
      <c r="N37" s="44"/>
      <c r="O37" s="44">
        <f t="shared" si="5"/>
        <v>0</v>
      </c>
      <c r="P37" s="44"/>
    </row>
    <row r="38" spans="1:16">
      <c r="A38" s="96" t="s">
        <v>152</v>
      </c>
      <c r="B38">
        <v>6.8</v>
      </c>
      <c r="C38">
        <v>9.61</v>
      </c>
      <c r="D38">
        <v>3</v>
      </c>
      <c r="E38" s="24">
        <f t="shared" si="1"/>
        <v>82.639999999999986</v>
      </c>
      <c r="F38" s="93">
        <f t="shared" si="0"/>
        <v>247.91999999999996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247.91999999999996</v>
      </c>
      <c r="M38" s="44">
        <f t="shared" si="7"/>
        <v>247.91999999999996</v>
      </c>
      <c r="N38" s="44"/>
      <c r="O38" s="44">
        <f>(O37+D39)</f>
        <v>2.9</v>
      </c>
      <c r="P38" s="44"/>
    </row>
    <row r="39" spans="1:16">
      <c r="A39" s="96" t="s">
        <v>153</v>
      </c>
      <c r="B39" s="93">
        <v>7.1</v>
      </c>
      <c r="C39" s="93">
        <v>8.9</v>
      </c>
      <c r="D39" s="93">
        <v>2.9</v>
      </c>
      <c r="E39" s="93">
        <f>(B40*6.5+C40*4)</f>
        <v>71.199999999999989</v>
      </c>
      <c r="F39" s="93">
        <f>(B40*6.5+C40*4)*D40</f>
        <v>213.59999999999997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461.51999999999992</v>
      </c>
      <c r="M39" s="44">
        <f t="shared" si="7"/>
        <v>461.51999999999992</v>
      </c>
      <c r="N39" s="44"/>
      <c r="O39" s="44">
        <f>(O38+D40)</f>
        <v>5.9</v>
      </c>
      <c r="P39" s="44"/>
    </row>
    <row r="40" spans="1:16">
      <c r="A40" s="96" t="s">
        <v>154</v>
      </c>
      <c r="B40" s="93">
        <v>5.6</v>
      </c>
      <c r="C40" s="93">
        <v>8.6999999999999993</v>
      </c>
      <c r="D40" s="93">
        <v>3</v>
      </c>
      <c r="E40" s="24">
        <f>(B41*6.5+C41*4)</f>
        <v>72.650000000000006</v>
      </c>
      <c r="F40" s="93">
        <f>(B41*6.5+C41*4)*D41</f>
        <v>225.21500000000003</v>
      </c>
      <c r="G40" s="93" t="s">
        <v>120</v>
      </c>
      <c r="H40" s="20"/>
      <c r="I40" s="20"/>
      <c r="J40" s="62" t="s">
        <v>154</v>
      </c>
      <c r="K40" s="155"/>
      <c r="L40" s="44">
        <f t="shared" si="2"/>
        <v>686.7349999999999</v>
      </c>
      <c r="M40" s="44">
        <f t="shared" si="7"/>
        <v>686.7349999999999</v>
      </c>
      <c r="N40" s="44"/>
      <c r="O40" s="44">
        <f>(O39+D41)</f>
        <v>9</v>
      </c>
      <c r="P40" s="44"/>
    </row>
    <row r="41" spans="1:16">
      <c r="A41" s="96" t="s">
        <v>156</v>
      </c>
      <c r="B41" s="93">
        <v>5.7</v>
      </c>
      <c r="C41" s="93">
        <v>8.9</v>
      </c>
      <c r="D41" s="93">
        <v>3.1</v>
      </c>
      <c r="E41" s="24">
        <f>(B42*6.5+C42*4)</f>
        <v>81.349999999999994</v>
      </c>
      <c r="F41" s="93">
        <f>(B42*6.5+C42*4)*D42</f>
        <v>244.04999999999998</v>
      </c>
      <c r="G41" s="93" t="s">
        <v>120</v>
      </c>
      <c r="H41" s="20"/>
      <c r="I41" s="20"/>
      <c r="J41" s="62" t="s">
        <v>156</v>
      </c>
      <c r="K41" s="44"/>
      <c r="L41" s="44">
        <f t="shared" si="2"/>
        <v>930.78499999999985</v>
      </c>
      <c r="M41" s="44">
        <f t="shared" si="7"/>
        <v>930.78499999999985</v>
      </c>
      <c r="N41" s="44"/>
      <c r="O41" s="44">
        <f>(O40+D42)</f>
        <v>12</v>
      </c>
      <c r="P41" s="44"/>
    </row>
    <row r="42" spans="1:16">
      <c r="A42" s="96" t="s">
        <v>157</v>
      </c>
      <c r="B42" s="93">
        <v>7.1</v>
      </c>
      <c r="C42" s="93">
        <v>8.8000000000000007</v>
      </c>
      <c r="D42" s="93">
        <v>3</v>
      </c>
      <c r="E42" s="24">
        <f>(B43*6.5+C43*4)</f>
        <v>61.85</v>
      </c>
      <c r="F42" s="93">
        <f>(B43*6.5+C43*4)*D43</f>
        <v>154.625</v>
      </c>
      <c r="G42" s="93" t="s">
        <v>120</v>
      </c>
      <c r="H42" s="20"/>
      <c r="I42" s="20"/>
      <c r="J42" s="62" t="s">
        <v>157</v>
      </c>
      <c r="K42" s="44"/>
      <c r="L42" s="44">
        <f t="shared" si="2"/>
        <v>1085.4099999999999</v>
      </c>
      <c r="M42" s="44">
        <f t="shared" si="7"/>
        <v>1085.4099999999999</v>
      </c>
      <c r="N42" s="44"/>
      <c r="O42" s="44">
        <f>(O41+D43)</f>
        <v>14.5</v>
      </c>
      <c r="P42" s="44"/>
    </row>
    <row r="43" spans="1:16">
      <c r="A43" s="189" t="s">
        <v>158</v>
      </c>
      <c r="B43" s="188">
        <v>4.0999999999999996</v>
      </c>
      <c r="C43" s="188">
        <v>8.8000000000000007</v>
      </c>
      <c r="D43" s="188">
        <v>2.5</v>
      </c>
      <c r="E43" s="188">
        <f>(B44*6.5+C44*4)</f>
        <v>62.5</v>
      </c>
      <c r="F43" s="188">
        <f>(B44*6.5+C44*4)*D44</f>
        <v>168.75</v>
      </c>
      <c r="G43" s="188" t="s">
        <v>120</v>
      </c>
      <c r="H43" s="20"/>
      <c r="I43" s="20"/>
      <c r="J43" s="62" t="s">
        <v>158</v>
      </c>
      <c r="K43" s="44"/>
      <c r="L43" s="44">
        <f t="shared" si="2"/>
        <v>1254.1599999999999</v>
      </c>
      <c r="M43" s="44">
        <f t="shared" si="7"/>
        <v>1254.1599999999999</v>
      </c>
      <c r="N43" s="44"/>
      <c r="O43" s="44">
        <f t="shared" ref="O43:O53" si="8">(O42+D44)</f>
        <v>17.2</v>
      </c>
      <c r="P43" s="44"/>
    </row>
    <row r="44" spans="1:16">
      <c r="A44" s="96" t="s">
        <v>159</v>
      </c>
      <c r="B44" s="93">
        <v>5.8</v>
      </c>
      <c r="C44" s="93">
        <v>6.2</v>
      </c>
      <c r="D44" s="93">
        <v>2.7</v>
      </c>
      <c r="E44" s="24">
        <f t="shared" si="1"/>
        <v>62.5</v>
      </c>
      <c r="F44" s="93">
        <f t="shared" si="0"/>
        <v>168.75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1422.9099999999999</v>
      </c>
      <c r="M44" s="44">
        <f t="shared" si="7"/>
        <v>1422.9099999999999</v>
      </c>
      <c r="N44" s="44"/>
      <c r="O44" s="44">
        <f t="shared" si="8"/>
        <v>17.2</v>
      </c>
      <c r="P44" s="44"/>
    </row>
    <row r="45" spans="1:16">
      <c r="A45" s="96" t="s">
        <v>160</v>
      </c>
      <c r="B45" s="99"/>
      <c r="C45" s="99"/>
      <c r="D45" s="99"/>
      <c r="E45" s="24">
        <f t="shared" si="1"/>
        <v>0</v>
      </c>
      <c r="F45" s="93">
        <f t="shared" si="0"/>
        <v>0</v>
      </c>
      <c r="G45" s="99" t="s">
        <v>155</v>
      </c>
      <c r="H45" s="20"/>
      <c r="I45" s="20"/>
      <c r="J45" s="62" t="s">
        <v>160</v>
      </c>
      <c r="K45" s="86"/>
      <c r="L45" s="44">
        <f t="shared" si="2"/>
        <v>1422.9099999999999</v>
      </c>
      <c r="M45" s="44">
        <f t="shared" si="7"/>
        <v>1422.9099999999999</v>
      </c>
      <c r="N45" s="86"/>
      <c r="O45" s="44">
        <f t="shared" si="8"/>
        <v>19.899999999999999</v>
      </c>
      <c r="P45" s="86"/>
    </row>
    <row r="46" spans="1:16">
      <c r="A46" s="96" t="s">
        <v>161</v>
      </c>
      <c r="B46" s="44">
        <v>6.8</v>
      </c>
      <c r="C46" s="44">
        <v>8.3000000000000007</v>
      </c>
      <c r="D46" s="44">
        <v>2.7</v>
      </c>
      <c r="E46" s="24">
        <f t="shared" si="1"/>
        <v>77.400000000000006</v>
      </c>
      <c r="F46" s="93">
        <f t="shared" si="0"/>
        <v>208.98000000000002</v>
      </c>
      <c r="G46" s="44" t="s">
        <v>120</v>
      </c>
      <c r="J46" s="62" t="s">
        <v>161</v>
      </c>
      <c r="K46" s="44"/>
      <c r="L46" s="44">
        <f t="shared" si="2"/>
        <v>1631.8899999999999</v>
      </c>
      <c r="M46" s="44">
        <f t="shared" si="7"/>
        <v>1631.8899999999999</v>
      </c>
      <c r="N46" s="44"/>
      <c r="O46" s="44">
        <f t="shared" si="8"/>
        <v>22.2</v>
      </c>
      <c r="P46" s="44"/>
    </row>
    <row r="47" spans="1:16">
      <c r="A47" s="96" t="s">
        <v>162</v>
      </c>
      <c r="B47" s="44">
        <v>7.1</v>
      </c>
      <c r="C47" s="44">
        <v>7.5</v>
      </c>
      <c r="D47" s="44">
        <v>2.2999999999999998</v>
      </c>
      <c r="E47" s="24">
        <f t="shared" si="1"/>
        <v>76.150000000000006</v>
      </c>
      <c r="F47" s="93">
        <f t="shared" si="0"/>
        <v>175.14500000000001</v>
      </c>
      <c r="G47" s="44" t="s">
        <v>120</v>
      </c>
      <c r="J47" s="62" t="s">
        <v>162</v>
      </c>
      <c r="K47" s="44"/>
      <c r="L47" s="44">
        <f t="shared" si="2"/>
        <v>1807.0349999999999</v>
      </c>
      <c r="M47" s="44">
        <f t="shared" si="7"/>
        <v>1807.0349999999999</v>
      </c>
      <c r="N47" s="44"/>
      <c r="O47" s="44">
        <f t="shared" si="8"/>
        <v>25</v>
      </c>
      <c r="P47" s="44"/>
    </row>
    <row r="48" spans="1:16">
      <c r="A48" s="96" t="s">
        <v>163</v>
      </c>
      <c r="B48" s="44">
        <v>6.2</v>
      </c>
      <c r="C48" s="44">
        <v>8.6</v>
      </c>
      <c r="D48" s="44">
        <v>2.8</v>
      </c>
      <c r="E48" s="24">
        <f t="shared" si="1"/>
        <v>74.7</v>
      </c>
      <c r="F48" s="93">
        <f t="shared" si="0"/>
        <v>209.16</v>
      </c>
      <c r="G48" s="44" t="s">
        <v>120</v>
      </c>
      <c r="J48" s="96" t="s">
        <v>163</v>
      </c>
      <c r="K48" s="44"/>
      <c r="L48" s="44">
        <f t="shared" si="2"/>
        <v>2016.1949999999999</v>
      </c>
      <c r="M48" s="44">
        <f t="shared" si="7"/>
        <v>2016.1949999999999</v>
      </c>
      <c r="N48" s="44"/>
      <c r="O48" s="44">
        <f t="shared" si="8"/>
        <v>26.8</v>
      </c>
      <c r="P48" s="44"/>
    </row>
    <row r="49" spans="1:16">
      <c r="A49" s="96" t="s">
        <v>164</v>
      </c>
      <c r="B49" s="44">
        <v>5</v>
      </c>
      <c r="C49" s="44">
        <v>5.8</v>
      </c>
      <c r="D49" s="44">
        <v>1.8</v>
      </c>
      <c r="E49" s="24">
        <f t="shared" si="1"/>
        <v>55.7</v>
      </c>
      <c r="F49" s="93">
        <f t="shared" si="0"/>
        <v>100.26</v>
      </c>
      <c r="G49" s="44" t="s">
        <v>120</v>
      </c>
      <c r="J49" s="96" t="s">
        <v>164</v>
      </c>
      <c r="K49" s="44"/>
      <c r="L49" s="44">
        <f t="shared" si="2"/>
        <v>2116.4549999999999</v>
      </c>
      <c r="M49" s="44">
        <f t="shared" si="7"/>
        <v>2116.4549999999999</v>
      </c>
      <c r="N49" s="44"/>
      <c r="O49" s="44">
        <f t="shared" si="8"/>
        <v>28.6</v>
      </c>
      <c r="P49" s="44"/>
    </row>
    <row r="50" spans="1:16">
      <c r="A50" s="96" t="s">
        <v>165</v>
      </c>
      <c r="B50" s="44">
        <v>6.9</v>
      </c>
      <c r="C50" s="44">
        <v>9.6</v>
      </c>
      <c r="D50" s="44">
        <v>1.8</v>
      </c>
      <c r="E50" s="24">
        <f t="shared" si="1"/>
        <v>83.25</v>
      </c>
      <c r="F50" s="93">
        <f t="shared" si="0"/>
        <v>149.85</v>
      </c>
      <c r="G50" s="44" t="s">
        <v>120</v>
      </c>
      <c r="J50" s="96" t="s">
        <v>165</v>
      </c>
      <c r="K50" s="44"/>
      <c r="L50" s="44">
        <f t="shared" si="2"/>
        <v>2266.3049999999998</v>
      </c>
      <c r="M50" s="44">
        <f t="shared" si="7"/>
        <v>2266.3049999999998</v>
      </c>
      <c r="N50" s="44"/>
      <c r="O50" s="44">
        <f t="shared" si="8"/>
        <v>28.6</v>
      </c>
      <c r="P50" s="44"/>
    </row>
    <row r="51" spans="1:16">
      <c r="A51" s="189" t="s">
        <v>166</v>
      </c>
      <c r="B51" s="187"/>
      <c r="C51" s="187"/>
      <c r="D51" s="187"/>
      <c r="E51" s="188">
        <f t="shared" si="1"/>
        <v>0</v>
      </c>
      <c r="F51" s="188">
        <f t="shared" si="0"/>
        <v>0</v>
      </c>
      <c r="G51" s="187" t="s">
        <v>155</v>
      </c>
      <c r="J51" s="189" t="s">
        <v>166</v>
      </c>
      <c r="K51" s="44"/>
      <c r="L51" s="44">
        <f t="shared" si="2"/>
        <v>2266.3049999999998</v>
      </c>
      <c r="M51" s="44">
        <f t="shared" si="7"/>
        <v>2266.3049999999998</v>
      </c>
      <c r="N51" s="44"/>
      <c r="O51" s="44">
        <f t="shared" si="8"/>
        <v>30.6</v>
      </c>
      <c r="P51" s="44"/>
    </row>
    <row r="52" spans="1:16">
      <c r="A52" s="96" t="s">
        <v>167</v>
      </c>
      <c r="B52" s="44">
        <v>4.0999999999999996</v>
      </c>
      <c r="C52" s="44">
        <v>6.1</v>
      </c>
      <c r="D52" s="44">
        <v>2</v>
      </c>
      <c r="E52" s="24">
        <f t="shared" si="1"/>
        <v>51.05</v>
      </c>
      <c r="F52" s="93">
        <f t="shared" si="0"/>
        <v>102.1</v>
      </c>
      <c r="G52" s="44" t="s">
        <v>120</v>
      </c>
      <c r="J52" s="96" t="s">
        <v>167</v>
      </c>
      <c r="K52" s="44"/>
      <c r="L52" s="44">
        <f t="shared" si="2"/>
        <v>2368.4049999999997</v>
      </c>
      <c r="M52" s="44">
        <f t="shared" si="7"/>
        <v>2368.4049999999997</v>
      </c>
      <c r="N52" s="44"/>
      <c r="O52" s="44">
        <f t="shared" si="8"/>
        <v>32.6</v>
      </c>
      <c r="P52" s="44"/>
    </row>
    <row r="53" spans="1:16">
      <c r="A53" s="96" t="s">
        <v>168</v>
      </c>
      <c r="B53" s="44">
        <v>5.0999999999999996</v>
      </c>
      <c r="C53" s="44">
        <v>6.6</v>
      </c>
      <c r="D53" s="44">
        <v>2</v>
      </c>
      <c r="E53" s="24">
        <f t="shared" si="1"/>
        <v>59.55</v>
      </c>
      <c r="F53" s="93">
        <f t="shared" si="0"/>
        <v>119.1</v>
      </c>
      <c r="G53" s="44" t="s">
        <v>120</v>
      </c>
      <c r="J53" s="96" t="s">
        <v>168</v>
      </c>
      <c r="K53" s="44"/>
      <c r="L53" s="44">
        <f t="shared" si="2"/>
        <v>2487.5049999999997</v>
      </c>
      <c r="M53" s="44">
        <f t="shared" si="7"/>
        <v>2487.5049999999997</v>
      </c>
      <c r="N53" s="44"/>
      <c r="O53" s="44">
        <f t="shared" si="8"/>
        <v>32.6</v>
      </c>
      <c r="P53" s="44"/>
    </row>
    <row r="54" spans="1:16">
      <c r="A54" s="157"/>
      <c r="B54" s="44"/>
      <c r="C54" s="44"/>
      <c r="D54" s="44"/>
      <c r="E54" s="44"/>
      <c r="F54" s="44"/>
      <c r="G54" s="44"/>
      <c r="J54" s="44"/>
      <c r="K54" s="44"/>
      <c r="L54" s="44"/>
      <c r="M54" s="44"/>
      <c r="N54" s="44"/>
      <c r="O54" s="44"/>
      <c r="P54" s="44"/>
    </row>
    <row r="55" spans="1:16">
      <c r="A55" s="157"/>
      <c r="B55" s="44"/>
      <c r="C55" s="44"/>
      <c r="D55" s="44"/>
      <c r="E55" s="44"/>
      <c r="F55" s="44"/>
      <c r="G55" s="44"/>
      <c r="J55" s="44"/>
      <c r="K55" s="44"/>
      <c r="L55" s="44"/>
      <c r="M55" s="44"/>
      <c r="N55" s="44"/>
      <c r="O55" s="44"/>
      <c r="P55" s="44"/>
    </row>
    <row r="56" spans="1:16">
      <c r="A56" s="157"/>
      <c r="B56" s="44"/>
      <c r="C56" s="44"/>
      <c r="D56" s="44"/>
      <c r="E56" s="44"/>
      <c r="F56" s="44"/>
      <c r="G56" s="44"/>
      <c r="J56" s="44"/>
      <c r="K56" s="44"/>
      <c r="L56" s="44"/>
      <c r="M56" s="44"/>
      <c r="N56" s="44"/>
      <c r="O56" s="44"/>
      <c r="P56" s="44"/>
    </row>
    <row r="57" spans="1:16">
      <c r="A57" s="157"/>
      <c r="B57" s="44"/>
      <c r="C57" s="44"/>
      <c r="D57" s="44"/>
      <c r="E57" s="44"/>
      <c r="F57" s="44"/>
      <c r="G57" s="44"/>
      <c r="J57" s="44"/>
      <c r="K57" s="44"/>
      <c r="L57" s="44"/>
      <c r="M57" s="44"/>
      <c r="N57" s="44"/>
      <c r="O57" s="44"/>
      <c r="P57" s="44"/>
    </row>
    <row r="58" spans="1:16">
      <c r="A58" s="157"/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  <c r="P58" s="44"/>
    </row>
    <row r="59" spans="1:16">
      <c r="A59" s="157"/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  <c r="P59" s="44"/>
    </row>
    <row r="60" spans="1:16">
      <c r="A60" s="157"/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  <c r="P60" s="44"/>
    </row>
    <row r="61" spans="1:16">
      <c r="A61" s="157"/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  <c r="P61" s="44"/>
    </row>
    <row r="62" spans="1:16">
      <c r="A62" s="157"/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  <c r="P62" s="44"/>
    </row>
    <row r="63" spans="1:16">
      <c r="A63" s="157"/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  <c r="P63" s="44"/>
    </row>
    <row r="64" spans="1:16">
      <c r="A64" s="157"/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  <c r="P64" s="44"/>
    </row>
    <row r="65" spans="1:16">
      <c r="A65" s="157"/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  <c r="P65" s="44"/>
    </row>
    <row r="66" spans="1:16">
      <c r="A66" s="157"/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  <c r="P66" s="44"/>
    </row>
  </sheetData>
  <mergeCells count="1">
    <mergeCell ref="B2:G2"/>
  </mergeCells>
  <hyperlinks>
    <hyperlink ref="F5" location="'Customer Index'!A8" display="Customer Code"/>
    <hyperlink ref="G5" location="'Customer Index'!A32" display="Bas25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="115" zoomScaleNormal="115" workbookViewId="0">
      <selection activeCell="G5" sqref="G5"/>
    </sheetView>
  </sheetViews>
  <sheetFormatPr defaultColWidth="14.109375" defaultRowHeight="14.4"/>
  <cols>
    <col min="1" max="1" width="22.441406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244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75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2573.73</v>
      </c>
      <c r="S8" s="44">
        <f>SUM(K8:K46)</f>
        <v>1000</v>
      </c>
      <c r="T8" s="44">
        <f>(R8-S8)</f>
        <v>1573.73</v>
      </c>
      <c r="U8" s="44">
        <f>SUM(D8:D45)</f>
        <v>18.8</v>
      </c>
      <c r="V8" s="44"/>
    </row>
    <row r="9" spans="1:22">
      <c r="A9" s="62" t="s">
        <v>121</v>
      </c>
      <c r="B9" s="24"/>
      <c r="C9" s="24"/>
      <c r="D9" s="24"/>
      <c r="E9" s="24">
        <f t="shared" ref="E9:E52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2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0</v>
      </c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>
        <v>6.2</v>
      </c>
      <c r="C39" s="93">
        <v>9.6999999999999993</v>
      </c>
      <c r="D39" s="93">
        <v>2.6</v>
      </c>
      <c r="E39" s="93">
        <f t="shared" si="1"/>
        <v>79.099999999999994</v>
      </c>
      <c r="F39" s="93">
        <f t="shared" si="0"/>
        <v>205.66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205.66</v>
      </c>
      <c r="M39" s="44">
        <f t="shared" si="8"/>
        <v>205.66</v>
      </c>
      <c r="N39" s="44" t="str">
        <f t="shared" si="6"/>
        <v>Cr</v>
      </c>
      <c r="O39" s="44">
        <f t="shared" si="5"/>
        <v>2.6</v>
      </c>
      <c r="P39" s="44"/>
    </row>
    <row r="40" spans="1:16">
      <c r="A40" s="96" t="s">
        <v>154</v>
      </c>
      <c r="B40" s="93">
        <v>6</v>
      </c>
      <c r="C40" s="93">
        <v>9.4</v>
      </c>
      <c r="D40" s="93">
        <v>2.6</v>
      </c>
      <c r="E40" s="24">
        <f t="shared" si="1"/>
        <v>76.599999999999994</v>
      </c>
      <c r="F40" s="93">
        <f t="shared" si="0"/>
        <v>199.16</v>
      </c>
      <c r="G40" s="93" t="s">
        <v>120</v>
      </c>
      <c r="H40" s="20"/>
      <c r="I40" s="20"/>
      <c r="J40" s="62" t="s">
        <v>154</v>
      </c>
      <c r="K40" s="155"/>
      <c r="L40" s="44">
        <f t="shared" si="2"/>
        <v>404.82</v>
      </c>
      <c r="M40" s="44">
        <f t="shared" si="8"/>
        <v>404.82</v>
      </c>
      <c r="N40" s="44" t="str">
        <f t="shared" si="6"/>
        <v>Cr</v>
      </c>
      <c r="O40" s="44">
        <f t="shared" si="5"/>
        <v>5.2</v>
      </c>
      <c r="P40" s="44"/>
    </row>
    <row r="41" spans="1:16">
      <c r="A41" s="96" t="s">
        <v>156</v>
      </c>
      <c r="B41" s="93">
        <v>5.7</v>
      </c>
      <c r="C41" s="93">
        <v>8.8000000000000007</v>
      </c>
      <c r="D41" s="93">
        <v>2.8</v>
      </c>
      <c r="E41" s="24">
        <f t="shared" si="1"/>
        <v>72.25</v>
      </c>
      <c r="F41" s="93">
        <f t="shared" si="0"/>
        <v>202.29999999999998</v>
      </c>
      <c r="G41" s="93" t="s">
        <v>120</v>
      </c>
      <c r="H41" s="20"/>
      <c r="I41" s="20"/>
      <c r="J41" s="62" t="s">
        <v>156</v>
      </c>
      <c r="K41" s="44"/>
      <c r="L41" s="44">
        <f t="shared" si="2"/>
        <v>607.12</v>
      </c>
      <c r="M41" s="44">
        <f t="shared" si="8"/>
        <v>607.12</v>
      </c>
      <c r="N41" s="44" t="str">
        <f t="shared" si="6"/>
        <v>Cr</v>
      </c>
      <c r="O41" s="44">
        <f t="shared" si="5"/>
        <v>8</v>
      </c>
      <c r="P41" s="44"/>
    </row>
    <row r="42" spans="1:16">
      <c r="A42" s="96" t="s">
        <v>157</v>
      </c>
      <c r="B42" s="93">
        <v>5.3</v>
      </c>
      <c r="C42" s="93">
        <v>8.5</v>
      </c>
      <c r="D42" s="93">
        <v>2.7</v>
      </c>
      <c r="E42" s="24">
        <f t="shared" si="1"/>
        <v>68.449999999999989</v>
      </c>
      <c r="F42" s="93">
        <f t="shared" si="0"/>
        <v>184.81499999999997</v>
      </c>
      <c r="G42" s="93" t="s">
        <v>120</v>
      </c>
      <c r="H42" s="20"/>
      <c r="I42" s="20"/>
      <c r="J42" s="62" t="s">
        <v>157</v>
      </c>
      <c r="K42" s="44"/>
      <c r="L42" s="44">
        <f t="shared" si="2"/>
        <v>791.93499999999995</v>
      </c>
      <c r="M42" s="44">
        <f t="shared" si="8"/>
        <v>791.93499999999995</v>
      </c>
      <c r="N42" s="44" t="str">
        <f t="shared" si="6"/>
        <v>Cr</v>
      </c>
      <c r="O42" s="44">
        <f t="shared" si="5"/>
        <v>10.7</v>
      </c>
      <c r="P42" s="44"/>
    </row>
    <row r="43" spans="1:16">
      <c r="A43" s="96" t="s">
        <v>158</v>
      </c>
      <c r="B43" s="93">
        <v>4.7</v>
      </c>
      <c r="C43" s="93">
        <v>6.8</v>
      </c>
      <c r="D43" s="93">
        <v>3</v>
      </c>
      <c r="E43" s="93">
        <f t="shared" si="1"/>
        <v>57.75</v>
      </c>
      <c r="F43" s="93">
        <f t="shared" si="0"/>
        <v>173.25</v>
      </c>
      <c r="G43" s="93" t="s">
        <v>120</v>
      </c>
      <c r="H43" s="20"/>
      <c r="I43" s="20"/>
      <c r="J43" s="178" t="s">
        <v>158</v>
      </c>
      <c r="K43" s="179">
        <v>1000</v>
      </c>
      <c r="L43" s="44">
        <f t="shared" si="2"/>
        <v>965.18499999999995</v>
      </c>
      <c r="M43" s="179">
        <f t="shared" si="8"/>
        <v>-34.815000000000055</v>
      </c>
      <c r="N43" s="179" t="str">
        <f t="shared" si="6"/>
        <v>Dr</v>
      </c>
      <c r="O43" s="179">
        <f>(O42+D43)</f>
        <v>13.7</v>
      </c>
      <c r="P43" s="179"/>
    </row>
    <row r="44" spans="1:16">
      <c r="A44" s="96" t="s">
        <v>159</v>
      </c>
      <c r="B44" s="93">
        <v>6.7</v>
      </c>
      <c r="C44" s="93">
        <v>10</v>
      </c>
      <c r="D44" s="93">
        <v>2.6</v>
      </c>
      <c r="E44" s="93">
        <f t="shared" si="1"/>
        <v>83.550000000000011</v>
      </c>
      <c r="F44" s="93">
        <f t="shared" si="0"/>
        <v>217.23000000000005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1182.415</v>
      </c>
      <c r="M44" s="179">
        <f t="shared" si="8"/>
        <v>182.41499999999999</v>
      </c>
      <c r="N44" s="44"/>
      <c r="O44" s="179">
        <f t="shared" ref="O44:O53" si="9">(O43+D44)</f>
        <v>16.3</v>
      </c>
      <c r="P44" s="44"/>
    </row>
    <row r="45" spans="1:16">
      <c r="A45" s="96" t="s">
        <v>160</v>
      </c>
      <c r="B45" s="99">
        <v>6</v>
      </c>
      <c r="C45" s="99">
        <v>10</v>
      </c>
      <c r="D45" s="99">
        <v>2.5</v>
      </c>
      <c r="E45" s="93">
        <f t="shared" si="1"/>
        <v>79</v>
      </c>
      <c r="F45" s="93">
        <f t="shared" si="0"/>
        <v>197.5</v>
      </c>
      <c r="G45" s="93" t="s">
        <v>120</v>
      </c>
      <c r="H45" s="20"/>
      <c r="I45" s="20"/>
      <c r="J45" s="62" t="s">
        <v>160</v>
      </c>
      <c r="K45" s="86"/>
      <c r="L45" s="44">
        <f t="shared" si="2"/>
        <v>1379.915</v>
      </c>
      <c r="M45" s="179">
        <f t="shared" si="8"/>
        <v>379.91499999999996</v>
      </c>
      <c r="N45" s="86"/>
      <c r="O45" s="179">
        <f t="shared" si="9"/>
        <v>18.8</v>
      </c>
      <c r="P45" s="86"/>
    </row>
    <row r="46" spans="1:16">
      <c r="A46" s="96" t="s">
        <v>161</v>
      </c>
      <c r="B46" s="44">
        <v>6.2</v>
      </c>
      <c r="C46" s="44">
        <v>10</v>
      </c>
      <c r="D46" s="44">
        <v>2.5</v>
      </c>
      <c r="E46" s="93">
        <f t="shared" si="1"/>
        <v>80.300000000000011</v>
      </c>
      <c r="F46" s="93">
        <f t="shared" si="0"/>
        <v>200.75000000000003</v>
      </c>
      <c r="G46" s="93" t="s">
        <v>120</v>
      </c>
      <c r="J46" s="62" t="s">
        <v>161</v>
      </c>
      <c r="K46" s="44"/>
      <c r="L46" s="44">
        <f t="shared" si="2"/>
        <v>1580.665</v>
      </c>
      <c r="M46" s="179">
        <f t="shared" si="8"/>
        <v>580.66499999999996</v>
      </c>
      <c r="N46" s="44"/>
      <c r="O46" s="179">
        <f t="shared" si="9"/>
        <v>21.3</v>
      </c>
      <c r="P46" s="44"/>
    </row>
    <row r="47" spans="1:16">
      <c r="A47" s="96" t="s">
        <v>162</v>
      </c>
      <c r="B47" s="44">
        <v>4.3</v>
      </c>
      <c r="C47" s="44">
        <v>5.3</v>
      </c>
      <c r="D47" s="44">
        <v>1.7</v>
      </c>
      <c r="E47" s="93">
        <f t="shared" si="1"/>
        <v>49.15</v>
      </c>
      <c r="F47" s="93">
        <f t="shared" si="0"/>
        <v>83.554999999999993</v>
      </c>
      <c r="G47" s="93" t="s">
        <v>120</v>
      </c>
      <c r="J47" s="62" t="s">
        <v>162</v>
      </c>
      <c r="K47" s="44">
        <v>1000</v>
      </c>
      <c r="L47" s="44">
        <f t="shared" si="2"/>
        <v>1664.22</v>
      </c>
      <c r="M47" s="179">
        <f t="shared" si="8"/>
        <v>-335.78000000000009</v>
      </c>
      <c r="N47" s="44"/>
      <c r="O47" s="179">
        <f t="shared" si="9"/>
        <v>23</v>
      </c>
      <c r="P47" s="44"/>
    </row>
    <row r="48" spans="1:16">
      <c r="A48" s="96" t="s">
        <v>163</v>
      </c>
      <c r="B48" s="44">
        <v>6.8</v>
      </c>
      <c r="C48" s="44">
        <v>10</v>
      </c>
      <c r="D48" s="44">
        <v>1.8</v>
      </c>
      <c r="E48" s="93">
        <f t="shared" si="1"/>
        <v>84.199999999999989</v>
      </c>
      <c r="F48" s="93">
        <f t="shared" si="0"/>
        <v>151.55999999999997</v>
      </c>
      <c r="G48" s="93" t="s">
        <v>120</v>
      </c>
      <c r="J48" s="96" t="s">
        <v>163</v>
      </c>
      <c r="K48" s="44"/>
      <c r="L48" s="44">
        <f t="shared" si="2"/>
        <v>1815.78</v>
      </c>
      <c r="M48" s="179">
        <f t="shared" si="8"/>
        <v>-184.22000000000011</v>
      </c>
      <c r="N48" s="44"/>
      <c r="O48" s="179">
        <f t="shared" si="9"/>
        <v>24.8</v>
      </c>
      <c r="P48" s="44"/>
    </row>
    <row r="49" spans="1:16">
      <c r="A49" s="96" t="s">
        <v>164</v>
      </c>
      <c r="B49" s="44">
        <v>6.9</v>
      </c>
      <c r="C49" s="44">
        <v>10</v>
      </c>
      <c r="D49" s="44">
        <v>2.2999999999999998</v>
      </c>
      <c r="E49" s="93">
        <f t="shared" si="1"/>
        <v>84.85</v>
      </c>
      <c r="F49" s="93">
        <f t="shared" si="0"/>
        <v>195.15499999999997</v>
      </c>
      <c r="G49" s="93" t="s">
        <v>120</v>
      </c>
      <c r="J49" s="96" t="s">
        <v>164</v>
      </c>
      <c r="K49" s="44"/>
      <c r="L49" s="44">
        <f t="shared" si="2"/>
        <v>2010.9349999999999</v>
      </c>
      <c r="M49" s="179">
        <f t="shared" si="8"/>
        <v>10.93499999999986</v>
      </c>
      <c r="N49" s="44"/>
      <c r="O49" s="179">
        <f t="shared" si="9"/>
        <v>27.1</v>
      </c>
      <c r="P49" s="44"/>
    </row>
    <row r="50" spans="1:16">
      <c r="A50" s="96" t="s">
        <v>165</v>
      </c>
      <c r="B50" s="44">
        <v>7.1</v>
      </c>
      <c r="C50" s="44">
        <v>9.1999999999999993</v>
      </c>
      <c r="D50" s="44">
        <v>2.6</v>
      </c>
      <c r="E50" s="93">
        <f t="shared" si="1"/>
        <v>82.949999999999989</v>
      </c>
      <c r="F50" s="93">
        <f t="shared" si="0"/>
        <v>215.67</v>
      </c>
      <c r="G50" s="93" t="s">
        <v>120</v>
      </c>
      <c r="J50" s="96" t="s">
        <v>165</v>
      </c>
      <c r="K50" s="44"/>
      <c r="L50" s="44">
        <f t="shared" si="2"/>
        <v>2226.605</v>
      </c>
      <c r="M50" s="179">
        <f t="shared" si="8"/>
        <v>226.60499999999985</v>
      </c>
      <c r="N50" s="44"/>
      <c r="O50" s="179">
        <f t="shared" si="9"/>
        <v>29.700000000000003</v>
      </c>
      <c r="P50" s="44"/>
    </row>
    <row r="51" spans="1:16">
      <c r="A51" s="96" t="s">
        <v>166</v>
      </c>
      <c r="B51" s="44">
        <v>5.2</v>
      </c>
      <c r="C51" s="44">
        <v>7.6</v>
      </c>
      <c r="D51" s="44">
        <v>2.6</v>
      </c>
      <c r="E51" s="93">
        <f t="shared" si="1"/>
        <v>64.2</v>
      </c>
      <c r="F51" s="93">
        <f t="shared" si="0"/>
        <v>166.92000000000002</v>
      </c>
      <c r="G51" s="93" t="s">
        <v>120</v>
      </c>
      <c r="J51" s="96" t="s">
        <v>166</v>
      </c>
      <c r="K51" s="44"/>
      <c r="L51" s="44">
        <f t="shared" si="2"/>
        <v>2393.5250000000001</v>
      </c>
      <c r="M51" s="179">
        <f t="shared" si="8"/>
        <v>393.52499999999986</v>
      </c>
      <c r="N51" s="44"/>
      <c r="O51" s="179">
        <f t="shared" si="9"/>
        <v>32.300000000000004</v>
      </c>
      <c r="P51" s="44"/>
    </row>
    <row r="52" spans="1:16">
      <c r="A52" s="98" t="s">
        <v>167</v>
      </c>
      <c r="B52" s="86">
        <v>5.9</v>
      </c>
      <c r="C52" s="86">
        <v>10</v>
      </c>
      <c r="D52" s="86">
        <v>2.2999999999999998</v>
      </c>
      <c r="E52" s="99">
        <f t="shared" si="1"/>
        <v>78.349999999999994</v>
      </c>
      <c r="F52" s="99">
        <f t="shared" si="0"/>
        <v>180.20499999999998</v>
      </c>
      <c r="G52" s="99" t="s">
        <v>120</v>
      </c>
      <c r="J52" s="98" t="s">
        <v>167</v>
      </c>
      <c r="K52" s="86">
        <v>3000</v>
      </c>
      <c r="L52" s="44">
        <f t="shared" si="2"/>
        <v>2573.73</v>
      </c>
      <c r="M52" s="179">
        <f t="shared" si="8"/>
        <v>-2426.2700000000004</v>
      </c>
      <c r="N52" s="86"/>
      <c r="O52" s="179">
        <f t="shared" si="9"/>
        <v>34.6</v>
      </c>
      <c r="P52" s="86"/>
    </row>
    <row r="53" spans="1:16">
      <c r="A53" s="176" t="s">
        <v>168</v>
      </c>
      <c r="B53" s="180"/>
      <c r="C53" s="180"/>
      <c r="D53" s="180"/>
      <c r="E53" s="180"/>
      <c r="F53" s="153">
        <f t="shared" si="0"/>
        <v>0</v>
      </c>
      <c r="G53" s="180" t="s">
        <v>155</v>
      </c>
      <c r="J53" s="176" t="s">
        <v>168</v>
      </c>
      <c r="K53" s="87">
        <v>3500</v>
      </c>
      <c r="L53" s="44">
        <f t="shared" si="2"/>
        <v>2573.73</v>
      </c>
      <c r="M53" s="179">
        <f t="shared" si="8"/>
        <v>-5926.27</v>
      </c>
      <c r="N53" s="87"/>
      <c r="O53" s="179">
        <f t="shared" si="9"/>
        <v>34.6</v>
      </c>
      <c r="P53" s="87"/>
    </row>
    <row r="54" spans="1:16">
      <c r="A54" s="83"/>
      <c r="B54" s="20"/>
      <c r="C54" s="20"/>
      <c r="D54" s="20"/>
      <c r="E54" s="20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33" display="Bas26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245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77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4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425.01000000000005</v>
      </c>
      <c r="S8" s="44">
        <f>SUM(K8:K46)</f>
        <v>0</v>
      </c>
      <c r="T8" s="44">
        <f>(R8-S8)</f>
        <v>425.01000000000005</v>
      </c>
      <c r="U8" s="44">
        <f>SUM(D8:D45)</f>
        <v>6.3000000000000007</v>
      </c>
      <c r="V8" s="44"/>
    </row>
    <row r="9" spans="1:22">
      <c r="A9" s="62" t="s">
        <v>121</v>
      </c>
      <c r="B9" s="24"/>
      <c r="C9" s="24"/>
      <c r="D9" s="24"/>
      <c r="E9" s="24">
        <f t="shared" ref="E9:E4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38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39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39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>
        <v>5.4</v>
      </c>
      <c r="C38" s="93">
        <v>6.3</v>
      </c>
      <c r="D38" s="93">
        <v>3.1</v>
      </c>
      <c r="E38" s="24">
        <f t="shared" si="1"/>
        <v>60.3</v>
      </c>
      <c r="F38" s="93">
        <f t="shared" si="0"/>
        <v>186.93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186.93</v>
      </c>
      <c r="M38" s="44">
        <f t="shared" si="8"/>
        <v>186.93</v>
      </c>
      <c r="N38" s="44" t="str">
        <f t="shared" si="6"/>
        <v>Cr</v>
      </c>
      <c r="O38" s="44">
        <f t="shared" si="5"/>
        <v>3.1</v>
      </c>
      <c r="P38" s="44"/>
    </row>
    <row r="39" spans="1:16">
      <c r="A39" s="96" t="s">
        <v>153</v>
      </c>
      <c r="B39" s="93">
        <v>6.4</v>
      </c>
      <c r="C39" s="93">
        <v>8.1999999999999993</v>
      </c>
      <c r="D39" s="93">
        <v>3.2</v>
      </c>
      <c r="E39" s="93">
        <f t="shared" si="1"/>
        <v>74.400000000000006</v>
      </c>
      <c r="F39" s="93">
        <f t="shared" si="0"/>
        <v>238.08000000000004</v>
      </c>
      <c r="G39" s="93" t="s">
        <v>120</v>
      </c>
      <c r="H39" s="20"/>
      <c r="I39" s="20"/>
      <c r="J39" s="62" t="s">
        <v>153</v>
      </c>
      <c r="K39" s="44"/>
      <c r="L39" s="44">
        <f>(L38+F39)</f>
        <v>425.01000000000005</v>
      </c>
      <c r="M39" s="44">
        <f t="shared" si="8"/>
        <v>425.01000000000005</v>
      </c>
      <c r="N39" s="44" t="str">
        <f t="shared" si="6"/>
        <v>Cr</v>
      </c>
      <c r="O39" s="44">
        <f t="shared" si="5"/>
        <v>6.3000000000000007</v>
      </c>
      <c r="P39" s="44"/>
    </row>
    <row r="40" spans="1:16">
      <c r="A40" s="96" t="s">
        <v>154</v>
      </c>
      <c r="B40" s="93"/>
      <c r="C40" s="93"/>
      <c r="D40" s="93"/>
      <c r="E40" s="24">
        <f t="shared" si="1"/>
        <v>0</v>
      </c>
      <c r="F40" s="93">
        <f t="shared" si="0"/>
        <v>0</v>
      </c>
      <c r="G40" s="93" t="s">
        <v>120</v>
      </c>
      <c r="H40" s="20"/>
      <c r="I40" s="20"/>
      <c r="J40" s="62" t="s">
        <v>154</v>
      </c>
      <c r="K40" s="155"/>
      <c r="L40" s="44"/>
      <c r="M40" s="44"/>
      <c r="N40" s="44" t="str">
        <f t="shared" si="6"/>
        <v>Cr</v>
      </c>
      <c r="O40" s="44"/>
      <c r="P40" s="44"/>
    </row>
    <row r="41" spans="1:16">
      <c r="A41" s="96" t="s">
        <v>156</v>
      </c>
      <c r="B41" s="93"/>
      <c r="C41" s="93"/>
      <c r="D41" s="93"/>
      <c r="E41" s="24">
        <f t="shared" si="1"/>
        <v>0</v>
      </c>
      <c r="F41" s="93">
        <f t="shared" si="0"/>
        <v>0</v>
      </c>
      <c r="G41" s="93" t="s">
        <v>120</v>
      </c>
      <c r="H41" s="20"/>
      <c r="I41" s="20"/>
      <c r="J41" s="62" t="s">
        <v>156</v>
      </c>
      <c r="K41" s="44"/>
      <c r="L41" s="161"/>
      <c r="M41" s="44"/>
      <c r="N41" s="44" t="str">
        <f t="shared" si="6"/>
        <v>Cr</v>
      </c>
      <c r="O41" s="44"/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 t="s">
        <v>120</v>
      </c>
      <c r="H42" s="20"/>
      <c r="I42" s="20"/>
      <c r="J42" s="62" t="s">
        <v>157</v>
      </c>
      <c r="K42" s="44"/>
      <c r="L42" s="44"/>
      <c r="M42" s="44"/>
      <c r="N42" s="44" t="str">
        <f t="shared" si="6"/>
        <v>Cr</v>
      </c>
      <c r="O42" s="44"/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 t="s">
        <v>120</v>
      </c>
      <c r="H43" s="20"/>
      <c r="I43" s="20"/>
      <c r="J43" s="96" t="s">
        <v>158</v>
      </c>
      <c r="K43" s="71"/>
      <c r="L43" s="71"/>
      <c r="M43" s="71"/>
      <c r="N43" s="71" t="str">
        <f t="shared" si="6"/>
        <v>Cr</v>
      </c>
      <c r="O43" s="71"/>
      <c r="P43" s="71"/>
    </row>
    <row r="44" spans="1:16">
      <c r="A44" s="96" t="s">
        <v>159</v>
      </c>
      <c r="B44" s="93"/>
      <c r="C44" s="93"/>
      <c r="D44" s="93"/>
      <c r="E44" s="24"/>
      <c r="F44" s="93"/>
      <c r="G44" s="93"/>
      <c r="H44" s="20"/>
      <c r="I44" s="20"/>
      <c r="J44" s="62" t="s">
        <v>159</v>
      </c>
      <c r="K44" s="44"/>
      <c r="L44" s="44"/>
      <c r="M44" s="44"/>
      <c r="N44" s="44"/>
      <c r="O44" s="44"/>
      <c r="P44" s="44"/>
    </row>
    <row r="45" spans="1:16">
      <c r="A45" s="96" t="s">
        <v>160</v>
      </c>
      <c r="B45" s="99"/>
      <c r="C45" s="99"/>
      <c r="D45" s="99"/>
      <c r="E45" s="80"/>
      <c r="F45" s="99"/>
      <c r="G45" s="99"/>
      <c r="H45" s="20"/>
      <c r="I45" s="20"/>
      <c r="J45" s="62" t="s">
        <v>160</v>
      </c>
      <c r="K45" s="86"/>
      <c r="L45" s="86"/>
      <c r="M45" s="86"/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44"/>
      <c r="F46" s="44"/>
      <c r="G46" s="44"/>
      <c r="J46" s="62" t="s">
        <v>161</v>
      </c>
      <c r="K46" s="44"/>
      <c r="L46" s="44"/>
      <c r="M46" s="44"/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44"/>
      <c r="F47" s="44"/>
      <c r="G47" s="44"/>
      <c r="J47" s="62" t="s">
        <v>162</v>
      </c>
      <c r="K47" s="44"/>
      <c r="L47" s="44"/>
      <c r="M47" s="44"/>
      <c r="N47" s="44"/>
      <c r="O47" s="44"/>
      <c r="P47" s="44"/>
    </row>
    <row r="48" spans="1:16">
      <c r="A48" s="96" t="s">
        <v>163</v>
      </c>
      <c r="B48" s="44"/>
      <c r="C48" s="44"/>
      <c r="D48" s="44"/>
      <c r="E48" s="44"/>
      <c r="F48" s="44"/>
      <c r="G48" s="44"/>
      <c r="J48" s="96" t="s">
        <v>163</v>
      </c>
      <c r="K48" s="44"/>
      <c r="L48" s="44"/>
      <c r="M48" s="44"/>
      <c r="N48" s="44"/>
      <c r="O48" s="44"/>
      <c r="P48" s="44"/>
    </row>
    <row r="49" spans="1:16">
      <c r="A49" s="96" t="s">
        <v>164</v>
      </c>
      <c r="B49" s="44"/>
      <c r="C49" s="44"/>
      <c r="D49" s="44"/>
      <c r="E49" s="44"/>
      <c r="F49" s="44"/>
      <c r="G49" s="44"/>
      <c r="J49" s="96" t="s">
        <v>164</v>
      </c>
      <c r="K49" s="44"/>
      <c r="L49" s="44"/>
      <c r="M49" s="44"/>
      <c r="N49" s="44"/>
      <c r="O49" s="44"/>
      <c r="P49" s="44"/>
    </row>
    <row r="50" spans="1:16">
      <c r="A50" s="98" t="s">
        <v>165</v>
      </c>
      <c r="B50" s="86"/>
      <c r="C50" s="86"/>
      <c r="D50" s="86"/>
      <c r="E50" s="86"/>
      <c r="F50" s="86"/>
      <c r="G50" s="86"/>
      <c r="J50" s="98" t="s">
        <v>165</v>
      </c>
      <c r="K50" s="86"/>
      <c r="L50" s="86"/>
      <c r="M50" s="86"/>
      <c r="N50" s="86"/>
      <c r="O50" s="86"/>
      <c r="P50" s="86"/>
    </row>
    <row r="51" spans="1:16">
      <c r="A51" s="181" t="s">
        <v>166</v>
      </c>
      <c r="B51" s="87"/>
      <c r="C51" s="87"/>
      <c r="D51" s="87"/>
      <c r="E51" s="87"/>
      <c r="F51" s="87"/>
      <c r="G51" s="87"/>
      <c r="J51" s="181" t="s">
        <v>166</v>
      </c>
      <c r="K51" s="87"/>
      <c r="L51" s="87"/>
      <c r="M51" s="87"/>
      <c r="N51" s="87"/>
      <c r="O51" s="87"/>
      <c r="P51" s="87"/>
    </row>
    <row r="52" spans="1:16">
      <c r="A52" s="8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>
      <c r="A53" s="8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>
      <c r="A54" s="8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8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34" display="Bas27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topLeftCell="A2" zoomScale="85" zoomScaleNormal="85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246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79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1761.29</v>
      </c>
      <c r="S8" s="44">
        <f>SUM(K8:K46)</f>
        <v>0</v>
      </c>
      <c r="T8" s="44">
        <f>(R8-S8)</f>
        <v>1761.29</v>
      </c>
      <c r="U8" s="44">
        <f>SUM(D8:D45)</f>
        <v>10.499999999999998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5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0</v>
      </c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>
        <v>5.7</v>
      </c>
      <c r="C39" s="93">
        <v>8</v>
      </c>
      <c r="D39" s="93">
        <v>1.9</v>
      </c>
      <c r="E39" s="93">
        <f t="shared" si="1"/>
        <v>69.050000000000011</v>
      </c>
      <c r="F39" s="93">
        <f t="shared" si="0"/>
        <v>131.19500000000002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131.19500000000002</v>
      </c>
      <c r="M39" s="44">
        <f t="shared" si="8"/>
        <v>131.19500000000002</v>
      </c>
      <c r="N39" s="44" t="str">
        <f t="shared" si="6"/>
        <v>Cr</v>
      </c>
      <c r="O39" s="44">
        <f t="shared" si="5"/>
        <v>1.9</v>
      </c>
      <c r="P39" s="44"/>
    </row>
    <row r="40" spans="1:16">
      <c r="A40" s="96" t="s">
        <v>154</v>
      </c>
      <c r="B40" s="93">
        <v>5.8</v>
      </c>
      <c r="C40" s="93">
        <v>8.9</v>
      </c>
      <c r="D40" s="93">
        <v>1.7</v>
      </c>
      <c r="E40" s="24">
        <f t="shared" si="1"/>
        <v>73.3</v>
      </c>
      <c r="F40" s="93">
        <f t="shared" si="0"/>
        <v>124.60999999999999</v>
      </c>
      <c r="G40" s="93" t="s">
        <v>120</v>
      </c>
      <c r="H40" s="20"/>
      <c r="I40" s="20"/>
      <c r="J40" s="62" t="s">
        <v>154</v>
      </c>
      <c r="K40" s="155"/>
      <c r="L40" s="44">
        <f t="shared" si="2"/>
        <v>255.80500000000001</v>
      </c>
      <c r="M40" s="44">
        <f t="shared" si="8"/>
        <v>255.80500000000001</v>
      </c>
      <c r="N40" s="44" t="str">
        <f t="shared" si="6"/>
        <v>Cr</v>
      </c>
      <c r="O40" s="44">
        <f t="shared" si="5"/>
        <v>3.5999999999999996</v>
      </c>
      <c r="P40" s="44"/>
    </row>
    <row r="41" spans="1:16">
      <c r="A41" s="66" t="s">
        <v>156</v>
      </c>
      <c r="B41" s="68"/>
      <c r="C41" s="68"/>
      <c r="D41" s="68"/>
      <c r="E41" s="68">
        <f t="shared" si="1"/>
        <v>0</v>
      </c>
      <c r="F41" s="68">
        <f t="shared" si="0"/>
        <v>0</v>
      </c>
      <c r="G41" s="68" t="s">
        <v>155</v>
      </c>
      <c r="H41" s="20"/>
      <c r="I41" s="20"/>
      <c r="J41" s="62" t="s">
        <v>156</v>
      </c>
      <c r="K41" s="44"/>
      <c r="L41" s="44">
        <f t="shared" si="2"/>
        <v>255.80500000000001</v>
      </c>
      <c r="M41" s="44">
        <f t="shared" si="8"/>
        <v>255.80500000000001</v>
      </c>
      <c r="N41" s="44" t="str">
        <f t="shared" si="6"/>
        <v>Cr</v>
      </c>
      <c r="O41" s="44">
        <f t="shared" si="5"/>
        <v>3.5999999999999996</v>
      </c>
      <c r="P41" s="44"/>
    </row>
    <row r="42" spans="1:16">
      <c r="A42" s="96" t="s">
        <v>157</v>
      </c>
      <c r="B42" s="93">
        <v>5.9</v>
      </c>
      <c r="C42" s="93">
        <v>9</v>
      </c>
      <c r="D42" s="93">
        <v>1.8</v>
      </c>
      <c r="E42" s="24">
        <f t="shared" si="1"/>
        <v>74.349999999999994</v>
      </c>
      <c r="F42" s="93">
        <f t="shared" si="0"/>
        <v>133.82999999999998</v>
      </c>
      <c r="G42" s="93" t="s">
        <v>120</v>
      </c>
      <c r="H42" s="20"/>
      <c r="I42" s="20"/>
      <c r="J42" s="62" t="s">
        <v>157</v>
      </c>
      <c r="K42" s="44"/>
      <c r="L42" s="44">
        <f t="shared" si="2"/>
        <v>389.63499999999999</v>
      </c>
      <c r="M42" s="44">
        <f t="shared" si="8"/>
        <v>389.63499999999999</v>
      </c>
      <c r="N42" s="44" t="str">
        <f t="shared" si="6"/>
        <v>Cr</v>
      </c>
      <c r="O42" s="44">
        <f t="shared" si="5"/>
        <v>5.3999999999999995</v>
      </c>
      <c r="P42" s="44"/>
    </row>
    <row r="43" spans="1:16">
      <c r="A43" s="96" t="s">
        <v>158</v>
      </c>
      <c r="B43" s="93">
        <v>5.7</v>
      </c>
      <c r="C43" s="93">
        <v>7.6</v>
      </c>
      <c r="D43" s="93">
        <v>1.8</v>
      </c>
      <c r="E43" s="93">
        <f t="shared" si="1"/>
        <v>67.45</v>
      </c>
      <c r="F43" s="93">
        <f t="shared" si="0"/>
        <v>121.41000000000001</v>
      </c>
      <c r="G43" s="93" t="s">
        <v>120</v>
      </c>
      <c r="H43" s="20"/>
      <c r="I43" s="20"/>
      <c r="J43" s="96" t="s">
        <v>158</v>
      </c>
      <c r="K43" s="71"/>
      <c r="L43" s="44">
        <f t="shared" si="2"/>
        <v>511.04500000000002</v>
      </c>
      <c r="M43" s="44">
        <f t="shared" si="8"/>
        <v>511.04500000000002</v>
      </c>
      <c r="N43" s="71" t="str">
        <f t="shared" si="6"/>
        <v>Cr</v>
      </c>
      <c r="O43" s="44">
        <f t="shared" si="5"/>
        <v>7.1999999999999993</v>
      </c>
      <c r="P43" s="71"/>
    </row>
    <row r="44" spans="1:16">
      <c r="A44" s="96" t="s">
        <v>159</v>
      </c>
      <c r="B44" s="93">
        <v>5.9</v>
      </c>
      <c r="C44" s="93">
        <v>8.3000000000000007</v>
      </c>
      <c r="D44" s="93">
        <v>1.6</v>
      </c>
      <c r="E44" s="93">
        <f t="shared" si="1"/>
        <v>71.550000000000011</v>
      </c>
      <c r="F44" s="93">
        <f t="shared" si="0"/>
        <v>114.48000000000002</v>
      </c>
      <c r="G44" s="93" t="s">
        <v>120</v>
      </c>
      <c r="H44" s="20"/>
      <c r="I44" s="20"/>
      <c r="J44" s="62" t="s">
        <v>159</v>
      </c>
      <c r="K44" s="44"/>
      <c r="L44" s="44">
        <f t="shared" si="2"/>
        <v>625.52500000000009</v>
      </c>
      <c r="M44" s="44">
        <f t="shared" si="8"/>
        <v>625.52500000000009</v>
      </c>
      <c r="N44" s="44"/>
      <c r="O44" s="44">
        <f t="shared" si="5"/>
        <v>8.7999999999999989</v>
      </c>
      <c r="P44" s="44"/>
    </row>
    <row r="45" spans="1:16">
      <c r="A45" s="96" t="s">
        <v>160</v>
      </c>
      <c r="B45" s="99">
        <v>6.3</v>
      </c>
      <c r="C45" s="99">
        <v>9</v>
      </c>
      <c r="D45" s="99">
        <v>1.7</v>
      </c>
      <c r="E45" s="93">
        <f t="shared" si="1"/>
        <v>76.949999999999989</v>
      </c>
      <c r="F45" s="93">
        <f t="shared" si="0"/>
        <v>130.81499999999997</v>
      </c>
      <c r="G45" s="93" t="s">
        <v>120</v>
      </c>
      <c r="H45" s="20"/>
      <c r="I45" s="20"/>
      <c r="J45" s="62" t="s">
        <v>160</v>
      </c>
      <c r="K45" s="86"/>
      <c r="L45" s="44">
        <f t="shared" si="2"/>
        <v>756.34</v>
      </c>
      <c r="M45" s="44">
        <f t="shared" si="8"/>
        <v>756.34</v>
      </c>
      <c r="N45" s="86"/>
      <c r="O45" s="44">
        <f t="shared" si="5"/>
        <v>10.499999999999998</v>
      </c>
      <c r="P45" s="86"/>
    </row>
    <row r="46" spans="1:16">
      <c r="A46" s="96" t="s">
        <v>161</v>
      </c>
      <c r="B46" s="44">
        <v>6.5</v>
      </c>
      <c r="C46" s="44">
        <v>8.1999999999999993</v>
      </c>
      <c r="D46" s="44">
        <v>2.5</v>
      </c>
      <c r="E46" s="93">
        <f t="shared" si="1"/>
        <v>75.05</v>
      </c>
      <c r="F46" s="93">
        <f t="shared" si="0"/>
        <v>187.625</v>
      </c>
      <c r="G46" s="93" t="s">
        <v>120</v>
      </c>
      <c r="J46" s="62" t="s">
        <v>161</v>
      </c>
      <c r="K46" s="44"/>
      <c r="L46" s="44">
        <f t="shared" si="2"/>
        <v>943.96500000000003</v>
      </c>
      <c r="M46" s="44">
        <f t="shared" si="8"/>
        <v>943.96500000000003</v>
      </c>
      <c r="N46" s="44"/>
      <c r="O46" s="44">
        <f t="shared" si="5"/>
        <v>12.999999999999998</v>
      </c>
      <c r="P46" s="44"/>
    </row>
    <row r="47" spans="1:16">
      <c r="A47" s="96" t="s">
        <v>162</v>
      </c>
      <c r="B47" s="44">
        <v>6.6</v>
      </c>
      <c r="C47" s="44">
        <v>7.8</v>
      </c>
      <c r="D47" s="44">
        <v>1.8</v>
      </c>
      <c r="E47" s="93">
        <f t="shared" si="1"/>
        <v>74.099999999999994</v>
      </c>
      <c r="F47" s="93">
        <f t="shared" si="0"/>
        <v>133.38</v>
      </c>
      <c r="G47" s="93" t="s">
        <v>120</v>
      </c>
      <c r="J47" s="62" t="s">
        <v>162</v>
      </c>
      <c r="K47" s="44"/>
      <c r="L47" s="44">
        <f t="shared" si="2"/>
        <v>1077.345</v>
      </c>
      <c r="M47" s="44">
        <f t="shared" si="8"/>
        <v>1077.345</v>
      </c>
      <c r="N47" s="44"/>
      <c r="O47" s="44">
        <f t="shared" si="5"/>
        <v>14.799999999999999</v>
      </c>
      <c r="P47" s="44"/>
    </row>
    <row r="48" spans="1:16">
      <c r="A48" s="96" t="s">
        <v>163</v>
      </c>
      <c r="B48" s="44">
        <v>6.9</v>
      </c>
      <c r="C48" s="44">
        <v>8.4</v>
      </c>
      <c r="D48" s="44">
        <v>1.7</v>
      </c>
      <c r="E48" s="93">
        <f t="shared" si="1"/>
        <v>78.45</v>
      </c>
      <c r="F48" s="93">
        <f t="shared" si="0"/>
        <v>133.36500000000001</v>
      </c>
      <c r="G48" s="93" t="s">
        <v>120</v>
      </c>
      <c r="J48" s="96" t="s">
        <v>163</v>
      </c>
      <c r="K48" s="44"/>
      <c r="L48" s="44">
        <f t="shared" si="2"/>
        <v>1210.71</v>
      </c>
      <c r="M48" s="44">
        <f t="shared" si="8"/>
        <v>1210.71</v>
      </c>
      <c r="N48" s="44"/>
      <c r="O48" s="44">
        <f t="shared" si="5"/>
        <v>16.5</v>
      </c>
      <c r="P48" s="44"/>
    </row>
    <row r="49" spans="1:16">
      <c r="A49" s="96" t="s">
        <v>164</v>
      </c>
      <c r="B49" s="44">
        <v>5.6</v>
      </c>
      <c r="C49" s="44">
        <v>6.1</v>
      </c>
      <c r="D49" s="44">
        <v>1.6</v>
      </c>
      <c r="E49" s="93">
        <f t="shared" si="1"/>
        <v>60.8</v>
      </c>
      <c r="F49" s="93">
        <f t="shared" si="0"/>
        <v>97.28</v>
      </c>
      <c r="G49" s="93" t="s">
        <v>120</v>
      </c>
      <c r="J49" s="96" t="s">
        <v>164</v>
      </c>
      <c r="K49" s="44"/>
      <c r="L49" s="44">
        <f t="shared" si="2"/>
        <v>1307.99</v>
      </c>
      <c r="M49" s="44">
        <f t="shared" si="8"/>
        <v>1307.99</v>
      </c>
      <c r="N49" s="44"/>
      <c r="O49" s="44">
        <f t="shared" si="5"/>
        <v>18.100000000000001</v>
      </c>
      <c r="P49" s="44"/>
    </row>
    <row r="50" spans="1:16">
      <c r="A50" s="96" t="s">
        <v>165</v>
      </c>
      <c r="B50" s="44">
        <v>7.1</v>
      </c>
      <c r="C50" s="44">
        <v>9.6</v>
      </c>
      <c r="D50" s="44">
        <v>1.8</v>
      </c>
      <c r="E50" s="93">
        <f t="shared" si="1"/>
        <v>84.55</v>
      </c>
      <c r="F50" s="93">
        <f t="shared" si="0"/>
        <v>152.19</v>
      </c>
      <c r="G50" s="93" t="s">
        <v>120</v>
      </c>
      <c r="J50" s="96" t="s">
        <v>165</v>
      </c>
      <c r="K50" s="44">
        <v>1000</v>
      </c>
      <c r="L50" s="44">
        <f t="shared" si="2"/>
        <v>1460.18</v>
      </c>
      <c r="M50" s="44">
        <f t="shared" si="8"/>
        <v>460.18000000000006</v>
      </c>
      <c r="N50" s="44"/>
      <c r="O50" s="44">
        <f t="shared" si="5"/>
        <v>19.900000000000002</v>
      </c>
      <c r="P50" s="44"/>
    </row>
    <row r="51" spans="1:16">
      <c r="A51" s="96" t="s">
        <v>166</v>
      </c>
      <c r="B51" s="44">
        <v>5.0999999999999996</v>
      </c>
      <c r="C51" s="44">
        <v>6.1</v>
      </c>
      <c r="D51" s="44">
        <v>1.7</v>
      </c>
      <c r="E51" s="93">
        <f t="shared" si="1"/>
        <v>57.55</v>
      </c>
      <c r="F51" s="93">
        <f t="shared" si="0"/>
        <v>97.834999999999994</v>
      </c>
      <c r="G51" s="93" t="s">
        <v>120</v>
      </c>
      <c r="J51" s="96" t="s">
        <v>166</v>
      </c>
      <c r="K51" s="44"/>
      <c r="L51" s="44">
        <f t="shared" si="2"/>
        <v>1558.0150000000001</v>
      </c>
      <c r="M51" s="44">
        <f t="shared" si="8"/>
        <v>558.0150000000001</v>
      </c>
      <c r="N51" s="44"/>
      <c r="O51" s="44">
        <f t="shared" si="5"/>
        <v>21.6</v>
      </c>
      <c r="P51" s="44"/>
    </row>
    <row r="52" spans="1:16">
      <c r="A52" s="98" t="s">
        <v>167</v>
      </c>
      <c r="B52" s="86">
        <v>5.6</v>
      </c>
      <c r="C52" s="86">
        <v>6.3</v>
      </c>
      <c r="D52" s="86">
        <v>1.8</v>
      </c>
      <c r="E52" s="99">
        <f t="shared" si="1"/>
        <v>61.599999999999994</v>
      </c>
      <c r="F52" s="99">
        <f t="shared" si="0"/>
        <v>110.88</v>
      </c>
      <c r="G52" s="99" t="s">
        <v>120</v>
      </c>
      <c r="J52" s="98" t="s">
        <v>167</v>
      </c>
      <c r="K52" s="86"/>
      <c r="L52" s="44">
        <f t="shared" si="2"/>
        <v>1668.895</v>
      </c>
      <c r="M52" s="44">
        <f t="shared" si="8"/>
        <v>668.8950000000001</v>
      </c>
      <c r="N52" s="86"/>
      <c r="O52" s="44">
        <f t="shared" si="5"/>
        <v>23.400000000000002</v>
      </c>
      <c r="P52" s="86"/>
    </row>
    <row r="53" spans="1:16">
      <c r="A53" s="181" t="s">
        <v>168</v>
      </c>
      <c r="B53" s="87">
        <v>5.0999999999999996</v>
      </c>
      <c r="C53" s="87">
        <v>5.3</v>
      </c>
      <c r="D53" s="87">
        <v>1.7</v>
      </c>
      <c r="E53" s="153">
        <f t="shared" si="1"/>
        <v>54.349999999999994</v>
      </c>
      <c r="F53" s="153">
        <f t="shared" si="0"/>
        <v>92.394999999999982</v>
      </c>
      <c r="G53" s="153" t="s">
        <v>120</v>
      </c>
      <c r="J53" s="181" t="s">
        <v>168</v>
      </c>
      <c r="K53" s="87">
        <v>760</v>
      </c>
      <c r="L53" s="44">
        <f t="shared" si="2"/>
        <v>1761.29</v>
      </c>
      <c r="M53" s="44">
        <f t="shared" si="8"/>
        <v>1.2900000000000773</v>
      </c>
      <c r="N53" s="87"/>
      <c r="O53" s="44">
        <f t="shared" si="5"/>
        <v>25.1</v>
      </c>
      <c r="P53" s="87"/>
    </row>
    <row r="54" spans="1:16">
      <c r="A54" s="83"/>
      <c r="B54" s="20"/>
      <c r="C54" s="20"/>
      <c r="D54" s="20"/>
      <c r="E54" s="20"/>
      <c r="F54" s="20"/>
      <c r="G54" s="164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83"/>
      <c r="B55" s="20"/>
      <c r="C55" s="20"/>
      <c r="D55" s="20"/>
      <c r="E55" s="20"/>
      <c r="F55" s="20"/>
      <c r="G55" s="164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35" display="Bas28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topLeftCell="C1" zoomScale="115" zoomScaleNormal="115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247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81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45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552.34999999999991</v>
      </c>
      <c r="S8" s="44">
        <f>SUM(K8:K46)</f>
        <v>552</v>
      </c>
      <c r="T8" s="44">
        <f>(R8-S8)</f>
        <v>0.34999999999990905</v>
      </c>
      <c r="U8" s="44">
        <f>SUM(D8:D45)</f>
        <v>5.9</v>
      </c>
      <c r="V8" s="44"/>
    </row>
    <row r="9" spans="1:22">
      <c r="A9" s="62" t="s">
        <v>121</v>
      </c>
      <c r="B9" s="24"/>
      <c r="C9" s="24"/>
      <c r="D9" s="24"/>
      <c r="E9" s="24">
        <f t="shared" ref="E9:E58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45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2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2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45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>
        <f t="shared" si="2"/>
        <v>0</v>
      </c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>
        <f t="shared" si="2"/>
        <v>0</v>
      </c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>
        <f t="shared" si="2"/>
        <v>0</v>
      </c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 t="s">
        <v>120</v>
      </c>
      <c r="H38" s="20"/>
      <c r="I38" s="20"/>
      <c r="J38" s="62" t="s">
        <v>152</v>
      </c>
      <c r="K38" s="44"/>
      <c r="L38" s="44">
        <f t="shared" si="2"/>
        <v>0</v>
      </c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>
        <v>8.4</v>
      </c>
      <c r="C39" s="93">
        <v>9</v>
      </c>
      <c r="D39" s="93">
        <v>2</v>
      </c>
      <c r="E39" s="93">
        <f t="shared" si="1"/>
        <v>90.6</v>
      </c>
      <c r="F39" s="93">
        <f t="shared" si="0"/>
        <v>181.2</v>
      </c>
      <c r="G39" s="93" t="s">
        <v>120</v>
      </c>
      <c r="H39" s="20"/>
      <c r="I39" s="20"/>
      <c r="J39" s="62" t="s">
        <v>153</v>
      </c>
      <c r="K39" s="44"/>
      <c r="L39" s="44">
        <f t="shared" si="2"/>
        <v>181.2</v>
      </c>
      <c r="M39" s="44">
        <f t="shared" si="8"/>
        <v>181.2</v>
      </c>
      <c r="N39" s="44" t="str">
        <f t="shared" si="6"/>
        <v>Cr</v>
      </c>
      <c r="O39" s="44">
        <f t="shared" si="5"/>
        <v>2</v>
      </c>
      <c r="P39" s="44"/>
    </row>
    <row r="40" spans="1:16">
      <c r="A40" s="66" t="s">
        <v>154</v>
      </c>
      <c r="B40" s="68"/>
      <c r="C40" s="68"/>
      <c r="D40" s="68"/>
      <c r="E40" s="68">
        <f t="shared" si="1"/>
        <v>0</v>
      </c>
      <c r="F40" s="68">
        <f t="shared" si="0"/>
        <v>0</v>
      </c>
      <c r="G40" s="68" t="s">
        <v>155</v>
      </c>
      <c r="H40" s="20"/>
      <c r="I40" s="20"/>
      <c r="J40" s="62" t="s">
        <v>154</v>
      </c>
      <c r="K40" s="155"/>
      <c r="L40" s="44">
        <f t="shared" si="2"/>
        <v>181.2</v>
      </c>
      <c r="M40" s="44">
        <f t="shared" si="8"/>
        <v>181.2</v>
      </c>
      <c r="N40" s="44" t="str">
        <f t="shared" si="6"/>
        <v>Cr</v>
      </c>
      <c r="O40" s="44">
        <f t="shared" si="5"/>
        <v>2</v>
      </c>
      <c r="P40" s="44"/>
    </row>
    <row r="41" spans="1:16">
      <c r="A41" s="66" t="s">
        <v>156</v>
      </c>
      <c r="B41" s="68"/>
      <c r="C41" s="68"/>
      <c r="D41" s="68"/>
      <c r="E41" s="68">
        <f t="shared" si="1"/>
        <v>0</v>
      </c>
      <c r="F41" s="68">
        <f t="shared" si="0"/>
        <v>0</v>
      </c>
      <c r="G41" s="68" t="s">
        <v>155</v>
      </c>
      <c r="H41" s="20"/>
      <c r="I41" s="20"/>
      <c r="J41" s="62" t="s">
        <v>156</v>
      </c>
      <c r="K41" s="44"/>
      <c r="L41" s="44">
        <f t="shared" si="2"/>
        <v>181.2</v>
      </c>
      <c r="M41" s="44">
        <f t="shared" si="8"/>
        <v>181.2</v>
      </c>
      <c r="N41" s="44" t="str">
        <f t="shared" si="6"/>
        <v>Cr</v>
      </c>
      <c r="O41" s="44">
        <f t="shared" si="5"/>
        <v>2</v>
      </c>
      <c r="P41" s="44"/>
    </row>
    <row r="42" spans="1:16">
      <c r="A42" s="96" t="s">
        <v>157</v>
      </c>
      <c r="B42" s="93">
        <v>9.1999999999999993</v>
      </c>
      <c r="C42" s="93">
        <v>9</v>
      </c>
      <c r="D42" s="93">
        <v>2</v>
      </c>
      <c r="E42" s="24">
        <f t="shared" si="1"/>
        <v>95.8</v>
      </c>
      <c r="F42" s="93">
        <f t="shared" si="0"/>
        <v>191.6</v>
      </c>
      <c r="G42" s="93" t="s">
        <v>120</v>
      </c>
      <c r="H42" s="20"/>
      <c r="I42" s="20"/>
      <c r="J42" s="62" t="s">
        <v>157</v>
      </c>
      <c r="K42" s="44"/>
      <c r="L42" s="44">
        <f t="shared" si="2"/>
        <v>372.79999999999995</v>
      </c>
      <c r="M42" s="44">
        <f t="shared" si="8"/>
        <v>372.79999999999995</v>
      </c>
      <c r="N42" s="44" t="str">
        <f t="shared" si="6"/>
        <v>Cr</v>
      </c>
      <c r="O42" s="44">
        <f t="shared" si="5"/>
        <v>4</v>
      </c>
      <c r="P42" s="44"/>
    </row>
    <row r="43" spans="1:16">
      <c r="A43" s="96" t="s">
        <v>158</v>
      </c>
      <c r="B43" s="93"/>
      <c r="C43" s="93"/>
      <c r="D43" s="93"/>
      <c r="E43" s="24">
        <f t="shared" si="1"/>
        <v>0</v>
      </c>
      <c r="F43" s="93">
        <f t="shared" si="0"/>
        <v>0</v>
      </c>
      <c r="G43" s="93" t="s">
        <v>120</v>
      </c>
      <c r="H43" s="20"/>
      <c r="I43" s="20"/>
      <c r="J43" s="96" t="s">
        <v>158</v>
      </c>
      <c r="K43" s="71"/>
      <c r="L43" s="44">
        <f t="shared" si="2"/>
        <v>372.79999999999995</v>
      </c>
      <c r="M43" s="44">
        <f t="shared" si="8"/>
        <v>372.79999999999995</v>
      </c>
      <c r="N43" s="71"/>
      <c r="O43" s="71"/>
      <c r="P43" s="71"/>
    </row>
    <row r="44" spans="1:16">
      <c r="A44" s="96" t="s">
        <v>159</v>
      </c>
      <c r="B44" s="93"/>
      <c r="C44" s="93"/>
      <c r="D44" s="93"/>
      <c r="E44" s="24">
        <f t="shared" si="1"/>
        <v>0</v>
      </c>
      <c r="F44" s="93">
        <f t="shared" si="0"/>
        <v>0</v>
      </c>
      <c r="G44" s="93"/>
      <c r="H44" s="20"/>
      <c r="I44" s="20"/>
      <c r="J44" s="62" t="s">
        <v>159</v>
      </c>
      <c r="K44" s="44"/>
      <c r="L44" s="44">
        <f t="shared" si="2"/>
        <v>372.79999999999995</v>
      </c>
      <c r="M44" s="44">
        <f t="shared" si="8"/>
        <v>372.79999999999995</v>
      </c>
      <c r="N44" s="44"/>
      <c r="O44" s="44"/>
      <c r="P44" s="44"/>
    </row>
    <row r="45" spans="1:16">
      <c r="A45" s="96" t="s">
        <v>160</v>
      </c>
      <c r="B45" s="99">
        <v>9</v>
      </c>
      <c r="C45" s="99">
        <v>9</v>
      </c>
      <c r="D45" s="99">
        <v>1.9</v>
      </c>
      <c r="E45" s="24">
        <f t="shared" si="1"/>
        <v>94.5</v>
      </c>
      <c r="F45" s="93">
        <f t="shared" si="0"/>
        <v>179.54999999999998</v>
      </c>
      <c r="G45" s="99"/>
      <c r="H45" s="20"/>
      <c r="I45" s="20"/>
      <c r="J45" s="62" t="s">
        <v>160</v>
      </c>
      <c r="K45" s="86">
        <v>552</v>
      </c>
      <c r="L45" s="44">
        <f t="shared" si="2"/>
        <v>552.34999999999991</v>
      </c>
      <c r="M45" s="44">
        <f t="shared" si="8"/>
        <v>0.34999999999990905</v>
      </c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24">
        <f t="shared" si="1"/>
        <v>0</v>
      </c>
      <c r="F46" s="44"/>
      <c r="G46" s="44"/>
      <c r="J46" s="62" t="s">
        <v>161</v>
      </c>
      <c r="K46" s="44"/>
      <c r="L46" s="44"/>
      <c r="M46" s="44"/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24">
        <f t="shared" si="1"/>
        <v>0</v>
      </c>
      <c r="F47" s="44"/>
      <c r="G47" s="44"/>
      <c r="J47" s="62" t="s">
        <v>162</v>
      </c>
      <c r="K47" s="44"/>
      <c r="L47" s="44"/>
      <c r="M47" s="44"/>
      <c r="N47" s="44"/>
      <c r="O47" s="44"/>
      <c r="P47" s="44"/>
    </row>
    <row r="48" spans="1:16">
      <c r="A48" s="96" t="s">
        <v>163</v>
      </c>
      <c r="B48" s="44"/>
      <c r="C48" s="44"/>
      <c r="D48" s="44"/>
      <c r="E48" s="24">
        <f t="shared" si="1"/>
        <v>0</v>
      </c>
      <c r="F48" s="44"/>
      <c r="G48" s="44"/>
      <c r="J48" s="44"/>
      <c r="K48" s="44"/>
      <c r="L48" s="44"/>
      <c r="M48" s="44"/>
      <c r="N48" s="44"/>
      <c r="O48" s="44"/>
      <c r="P48" s="44"/>
    </row>
    <row r="49" spans="1:16">
      <c r="A49" s="96" t="s">
        <v>164</v>
      </c>
      <c r="B49" s="44"/>
      <c r="C49" s="44"/>
      <c r="D49" s="44"/>
      <c r="E49" s="24">
        <f t="shared" si="1"/>
        <v>0</v>
      </c>
      <c r="F49" s="44"/>
      <c r="G49" s="44"/>
      <c r="J49" s="44"/>
      <c r="K49" s="44"/>
      <c r="L49" s="44"/>
      <c r="M49" s="44"/>
      <c r="N49" s="44"/>
      <c r="O49" s="44"/>
      <c r="P49" s="44"/>
    </row>
    <row r="50" spans="1:16">
      <c r="A50" s="96" t="s">
        <v>165</v>
      </c>
      <c r="B50" s="44"/>
      <c r="C50" s="44"/>
      <c r="D50" s="44"/>
      <c r="E50" s="24">
        <f t="shared" si="1"/>
        <v>0</v>
      </c>
      <c r="F50" s="44"/>
      <c r="G50" s="44"/>
      <c r="J50" s="44"/>
      <c r="K50" s="44"/>
      <c r="L50" s="44"/>
      <c r="M50" s="44"/>
      <c r="N50" s="44"/>
      <c r="O50" s="44"/>
      <c r="P50" s="44"/>
    </row>
    <row r="51" spans="1:16">
      <c r="A51" s="96" t="s">
        <v>166</v>
      </c>
      <c r="B51" s="44"/>
      <c r="C51" s="44"/>
      <c r="D51" s="44"/>
      <c r="E51" s="24">
        <f t="shared" si="1"/>
        <v>0</v>
      </c>
      <c r="F51" s="44"/>
      <c r="G51" s="44"/>
      <c r="J51" s="44"/>
      <c r="K51" s="44"/>
      <c r="L51" s="44"/>
      <c r="M51" s="44"/>
      <c r="N51" s="44"/>
      <c r="O51" s="44"/>
      <c r="P51" s="44"/>
    </row>
    <row r="52" spans="1:16">
      <c r="A52" s="157"/>
      <c r="B52" s="44"/>
      <c r="C52" s="44"/>
      <c r="D52" s="44"/>
      <c r="E52" s="24">
        <f t="shared" si="1"/>
        <v>0</v>
      </c>
      <c r="F52" s="44"/>
      <c r="G52" s="44"/>
      <c r="J52" s="44"/>
      <c r="K52" s="44"/>
      <c r="L52" s="44"/>
      <c r="M52" s="44"/>
      <c r="N52" s="44"/>
      <c r="O52" s="44"/>
      <c r="P52" s="44"/>
    </row>
    <row r="53" spans="1:16">
      <c r="A53" s="157"/>
      <c r="B53" s="44"/>
      <c r="C53" s="44"/>
      <c r="D53" s="44"/>
      <c r="E53" s="24">
        <f t="shared" si="1"/>
        <v>0</v>
      </c>
      <c r="F53" s="44"/>
      <c r="G53" s="44"/>
      <c r="J53" s="44"/>
      <c r="K53" s="44"/>
      <c r="L53" s="44"/>
      <c r="M53" s="44"/>
      <c r="N53" s="44"/>
      <c r="O53" s="44"/>
      <c r="P53" s="44"/>
    </row>
    <row r="54" spans="1:16">
      <c r="A54" s="157"/>
      <c r="B54" s="44"/>
      <c r="C54" s="44"/>
      <c r="D54" s="44"/>
      <c r="E54" s="24">
        <f t="shared" si="1"/>
        <v>0</v>
      </c>
      <c r="F54" s="44"/>
      <c r="G54" s="44"/>
      <c r="J54" s="44"/>
      <c r="K54" s="44"/>
      <c r="L54" s="44"/>
      <c r="M54" s="44"/>
      <c r="N54" s="44"/>
      <c r="O54" s="44"/>
      <c r="P54" s="44"/>
    </row>
    <row r="55" spans="1:16">
      <c r="A55" s="157"/>
      <c r="B55" s="44"/>
      <c r="C55" s="44"/>
      <c r="D55" s="44"/>
      <c r="E55" s="24">
        <f t="shared" si="1"/>
        <v>0</v>
      </c>
      <c r="F55" s="44"/>
      <c r="G55" s="44"/>
      <c r="J55" s="44"/>
      <c r="K55" s="44"/>
      <c r="L55" s="44"/>
      <c r="M55" s="44"/>
      <c r="N55" s="44"/>
      <c r="O55" s="44"/>
      <c r="P55" s="44"/>
    </row>
    <row r="56" spans="1:16">
      <c r="A56" s="157"/>
      <c r="B56" s="44"/>
      <c r="C56" s="44"/>
      <c r="D56" s="44"/>
      <c r="E56" s="24">
        <f t="shared" si="1"/>
        <v>0</v>
      </c>
      <c r="F56" s="44"/>
      <c r="G56" s="44"/>
      <c r="J56" s="44"/>
      <c r="K56" s="44"/>
      <c r="L56" s="44"/>
      <c r="M56" s="44"/>
      <c r="N56" s="44"/>
      <c r="O56" s="44"/>
      <c r="P56" s="44"/>
    </row>
    <row r="57" spans="1:16">
      <c r="A57" s="157"/>
      <c r="B57" s="44"/>
      <c r="C57" s="44"/>
      <c r="D57" s="44"/>
      <c r="E57" s="24">
        <f t="shared" si="1"/>
        <v>0</v>
      </c>
      <c r="F57" s="44"/>
      <c r="G57" s="44"/>
      <c r="J57" s="44"/>
      <c r="K57" s="44"/>
      <c r="L57" s="44"/>
      <c r="M57" s="44"/>
      <c r="N57" s="44"/>
      <c r="O57" s="44"/>
      <c r="P57" s="44"/>
    </row>
    <row r="58" spans="1:16">
      <c r="A58" s="157"/>
      <c r="B58" s="44"/>
      <c r="C58" s="44"/>
      <c r="D58" s="44"/>
      <c r="E58" s="24">
        <f t="shared" si="1"/>
        <v>0</v>
      </c>
      <c r="F58" s="44"/>
      <c r="G58" s="44"/>
      <c r="J58" s="44"/>
      <c r="K58" s="44"/>
      <c r="L58" s="44"/>
      <c r="M58" s="44"/>
      <c r="N58" s="44"/>
      <c r="O58" s="44"/>
      <c r="P58" s="44"/>
    </row>
    <row r="59" spans="1:16">
      <c r="A59" s="157"/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  <c r="P59" s="44"/>
    </row>
    <row r="60" spans="1:16">
      <c r="A60" s="157"/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  <c r="P60" s="44"/>
    </row>
    <row r="61" spans="1:16">
      <c r="A61" s="157"/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  <c r="P61" s="44"/>
    </row>
    <row r="62" spans="1:16">
      <c r="A62" s="157"/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  <c r="P62" s="44"/>
    </row>
    <row r="63" spans="1:16">
      <c r="A63" s="157"/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  <c r="P63" s="44"/>
    </row>
    <row r="64" spans="1:16">
      <c r="A64" s="157"/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  <c r="P64" s="44"/>
    </row>
    <row r="65" spans="1:16">
      <c r="A65" s="157"/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  <c r="P65" s="44"/>
    </row>
    <row r="66" spans="1:16">
      <c r="A66" s="157"/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  <c r="P66" s="44"/>
    </row>
  </sheetData>
  <mergeCells count="1">
    <mergeCell ref="B2:G2"/>
  </mergeCells>
  <hyperlinks>
    <hyperlink ref="F5" location="'Customer Index'!A8" display="Customer Code"/>
    <hyperlink ref="G5" location="'Customer Index'!A36" display="Bas29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="115" zoomScaleNormal="115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248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83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4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354.96</v>
      </c>
      <c r="S8" s="44">
        <f>SUM(K8:K46)</f>
        <v>347</v>
      </c>
      <c r="T8" s="44">
        <f>(R8-S8)</f>
        <v>7.9599999999999795</v>
      </c>
      <c r="U8" s="44">
        <f>SUM(D8:D45)</f>
        <v>4.8</v>
      </c>
      <c r="V8" s="44"/>
    </row>
    <row r="9" spans="1:22">
      <c r="A9" s="62" t="s">
        <v>121</v>
      </c>
      <c r="B9" s="24"/>
      <c r="C9" s="24"/>
      <c r="D9" s="24"/>
      <c r="E9" s="24">
        <f t="shared" ref="E9:E4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2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62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62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62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62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62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62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62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62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62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62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62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62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97" t="s">
        <v>138</v>
      </c>
      <c r="K24" s="78"/>
      <c r="L24" s="78"/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62" t="s">
        <v>139</v>
      </c>
      <c r="K25" s="44"/>
      <c r="L25" s="44"/>
      <c r="M25" s="44">
        <f>(M24+F25-K25)</f>
        <v>0</v>
      </c>
      <c r="N25" s="44" t="str">
        <f t="shared" ref="N25:N40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62" t="s">
        <v>140</v>
      </c>
      <c r="K26" s="44"/>
      <c r="L26" s="44"/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/>
      <c r="M27" s="44">
        <f t="shared" ref="M27:M42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62" t="s">
        <v>142</v>
      </c>
      <c r="K28" s="44"/>
      <c r="L28" s="44"/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62" t="s">
        <v>143</v>
      </c>
      <c r="K29" s="44"/>
      <c r="L29" s="44"/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62" t="s">
        <v>144</v>
      </c>
      <c r="K30" s="44"/>
      <c r="L30" s="44"/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62" t="s">
        <v>145</v>
      </c>
      <c r="K31" s="44"/>
      <c r="L31" s="44"/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62" t="s">
        <v>146</v>
      </c>
      <c r="K32" s="44"/>
      <c r="L32" s="44"/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62" t="s">
        <v>147</v>
      </c>
      <c r="K33" s="44"/>
      <c r="L33" s="44"/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62" t="s">
        <v>148</v>
      </c>
      <c r="K34" s="44"/>
      <c r="L34" s="44"/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62" t="s">
        <v>149</v>
      </c>
      <c r="K35" s="44"/>
      <c r="L35" s="44"/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62" t="s">
        <v>150</v>
      </c>
      <c r="K36" s="44"/>
      <c r="L36" s="44"/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62" t="s">
        <v>151</v>
      </c>
      <c r="K37" s="44"/>
      <c r="L37" s="44"/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 t="s">
        <v>120</v>
      </c>
      <c r="H38" s="20"/>
      <c r="I38" s="20"/>
      <c r="J38" s="62" t="s">
        <v>152</v>
      </c>
      <c r="K38" s="44"/>
      <c r="L38" s="44"/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/>
      <c r="C39" s="93"/>
      <c r="D39" s="93"/>
      <c r="E39" s="93">
        <f t="shared" si="1"/>
        <v>0</v>
      </c>
      <c r="F39" s="93">
        <f t="shared" si="0"/>
        <v>0</v>
      </c>
      <c r="G39" s="93" t="s">
        <v>120</v>
      </c>
      <c r="H39" s="20"/>
      <c r="I39" s="20"/>
      <c r="J39" s="62" t="s">
        <v>153</v>
      </c>
      <c r="K39" s="44"/>
      <c r="L39" s="44"/>
      <c r="M39" s="44">
        <f t="shared" si="8"/>
        <v>0</v>
      </c>
      <c r="N39" s="44" t="str">
        <f t="shared" si="6"/>
        <v>Cr</v>
      </c>
      <c r="O39" s="44">
        <f t="shared" si="5"/>
        <v>0</v>
      </c>
      <c r="P39" s="44"/>
    </row>
    <row r="40" spans="1:16">
      <c r="A40" s="96" t="s">
        <v>154</v>
      </c>
      <c r="B40" s="93">
        <v>5.9</v>
      </c>
      <c r="C40" s="93">
        <v>8.9</v>
      </c>
      <c r="D40" s="93">
        <v>2.4</v>
      </c>
      <c r="E40" s="93">
        <f t="shared" si="1"/>
        <v>73.95</v>
      </c>
      <c r="F40" s="93">
        <f t="shared" si="0"/>
        <v>177.48</v>
      </c>
      <c r="G40" s="93" t="s">
        <v>155</v>
      </c>
      <c r="H40" s="20"/>
      <c r="I40" s="20"/>
      <c r="J40" s="62" t="s">
        <v>154</v>
      </c>
      <c r="K40" s="155">
        <v>177</v>
      </c>
      <c r="L40" s="44"/>
      <c r="M40" s="44">
        <f t="shared" si="8"/>
        <v>0.47999999999998977</v>
      </c>
      <c r="N40" s="44" t="str">
        <f t="shared" si="6"/>
        <v>Cr</v>
      </c>
      <c r="O40" s="44">
        <f t="shared" si="5"/>
        <v>2.4</v>
      </c>
      <c r="P40" s="44"/>
    </row>
    <row r="41" spans="1:16">
      <c r="A41" s="96" t="s">
        <v>156</v>
      </c>
      <c r="B41" s="93">
        <v>5.9</v>
      </c>
      <c r="C41" s="93">
        <v>8.9</v>
      </c>
      <c r="D41" s="93">
        <v>2.4</v>
      </c>
      <c r="E41" s="93">
        <f t="shared" si="1"/>
        <v>73.95</v>
      </c>
      <c r="F41" s="93">
        <f t="shared" si="0"/>
        <v>177.48</v>
      </c>
      <c r="G41" s="93" t="s">
        <v>155</v>
      </c>
      <c r="H41" s="20"/>
      <c r="I41" s="20"/>
      <c r="J41" s="62" t="s">
        <v>156</v>
      </c>
      <c r="K41" s="44">
        <v>170</v>
      </c>
      <c r="L41" s="161"/>
      <c r="M41" s="44">
        <f t="shared" si="8"/>
        <v>7.9599999999999795</v>
      </c>
      <c r="N41" s="44"/>
      <c r="O41" s="44">
        <f t="shared" si="5"/>
        <v>4.8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 t="s">
        <v>120</v>
      </c>
      <c r="H42" s="20"/>
      <c r="I42" s="20"/>
      <c r="J42" s="62" t="s">
        <v>157</v>
      </c>
      <c r="K42" s="44"/>
      <c r="L42" s="44"/>
      <c r="M42" s="44">
        <f t="shared" si="8"/>
        <v>7.9599999999999795</v>
      </c>
      <c r="N42" s="44"/>
      <c r="O42" s="44">
        <f t="shared" si="5"/>
        <v>4.8</v>
      </c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 t="s">
        <v>120</v>
      </c>
      <c r="H43" s="20"/>
      <c r="I43" s="20"/>
      <c r="J43" s="96" t="s">
        <v>158</v>
      </c>
      <c r="K43" s="71"/>
      <c r="L43" s="71"/>
      <c r="M43" s="44"/>
      <c r="N43" s="71"/>
      <c r="O43" s="71"/>
      <c r="P43" s="71"/>
    </row>
    <row r="44" spans="1:16">
      <c r="A44" s="96" t="s">
        <v>159</v>
      </c>
      <c r="B44" s="93"/>
      <c r="C44" s="93"/>
      <c r="D44" s="93"/>
      <c r="E44" s="24"/>
      <c r="F44" s="93"/>
      <c r="G44" s="93"/>
      <c r="H44" s="20"/>
      <c r="I44" s="20"/>
      <c r="J44" s="62" t="s">
        <v>159</v>
      </c>
      <c r="K44" s="44"/>
      <c r="L44" s="44"/>
      <c r="M44" s="44"/>
      <c r="N44" s="44"/>
      <c r="O44" s="44"/>
      <c r="P44" s="44"/>
    </row>
    <row r="45" spans="1:16">
      <c r="A45" s="96" t="s">
        <v>160</v>
      </c>
      <c r="B45" s="99"/>
      <c r="C45" s="99"/>
      <c r="D45" s="99"/>
      <c r="E45" s="80"/>
      <c r="F45" s="99"/>
      <c r="G45" s="99"/>
      <c r="H45" s="20"/>
      <c r="I45" s="20"/>
      <c r="J45" s="62" t="s">
        <v>160</v>
      </c>
      <c r="K45" s="86"/>
      <c r="L45" s="86"/>
      <c r="M45" s="86"/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44"/>
      <c r="F46" s="44"/>
      <c r="G46" s="44"/>
      <c r="J46" s="62" t="s">
        <v>161</v>
      </c>
      <c r="K46" s="44"/>
      <c r="L46" s="44"/>
      <c r="M46" s="44"/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44"/>
      <c r="F47" s="44"/>
      <c r="G47" s="44"/>
      <c r="J47" s="62" t="s">
        <v>162</v>
      </c>
      <c r="K47" s="44"/>
      <c r="L47" s="44"/>
      <c r="M47" s="44"/>
      <c r="N47" s="44"/>
      <c r="O47" s="44"/>
      <c r="P47" s="44"/>
    </row>
    <row r="48" spans="1:16">
      <c r="A48" s="96" t="s">
        <v>163</v>
      </c>
      <c r="B48" s="44"/>
      <c r="C48" s="44"/>
      <c r="D48" s="44"/>
      <c r="E48" s="44"/>
      <c r="F48" s="44"/>
      <c r="G48" s="44"/>
      <c r="J48" s="44"/>
      <c r="K48" s="44"/>
      <c r="L48" s="44"/>
      <c r="M48" s="44"/>
      <c r="N48" s="44"/>
      <c r="O48" s="44"/>
      <c r="P48" s="44"/>
    </row>
    <row r="49" spans="1:16">
      <c r="A49" s="96" t="s">
        <v>164</v>
      </c>
      <c r="B49" s="44"/>
      <c r="C49" s="44"/>
      <c r="D49" s="44"/>
      <c r="E49" s="44"/>
      <c r="F49" s="44"/>
      <c r="G49" s="44"/>
      <c r="J49" s="44"/>
      <c r="K49" s="44"/>
      <c r="L49" s="44"/>
      <c r="M49" s="44"/>
      <c r="N49" s="44"/>
      <c r="O49" s="44"/>
      <c r="P49" s="44"/>
    </row>
    <row r="50" spans="1:16">
      <c r="A50" s="96" t="s">
        <v>165</v>
      </c>
      <c r="B50" s="44"/>
      <c r="C50" s="44"/>
      <c r="D50" s="44"/>
      <c r="E50" s="44"/>
      <c r="F50" s="44"/>
      <c r="G50" s="44"/>
      <c r="J50" s="44"/>
      <c r="K50" s="44"/>
      <c r="L50" s="44"/>
      <c r="M50" s="44"/>
      <c r="N50" s="44"/>
      <c r="O50" s="44"/>
      <c r="P50" s="44"/>
    </row>
    <row r="51" spans="1:16">
      <c r="A51" s="96" t="s">
        <v>166</v>
      </c>
      <c r="B51" s="44"/>
      <c r="C51" s="44"/>
      <c r="D51" s="44"/>
      <c r="E51" s="44"/>
      <c r="F51" s="44"/>
      <c r="G51" s="44"/>
      <c r="J51" s="44"/>
      <c r="K51" s="44"/>
      <c r="L51" s="44"/>
      <c r="M51" s="44"/>
      <c r="N51" s="44"/>
      <c r="O51" s="44"/>
      <c r="P51" s="44"/>
    </row>
    <row r="52" spans="1:16">
      <c r="A52" s="157"/>
      <c r="B52" s="44"/>
      <c r="C52" s="44"/>
      <c r="D52" s="44"/>
      <c r="E52" s="44"/>
      <c r="F52" s="44"/>
      <c r="G52" s="44"/>
      <c r="J52" s="44"/>
      <c r="K52" s="44"/>
      <c r="L52" s="44"/>
      <c r="M52" s="44"/>
      <c r="N52" s="44"/>
      <c r="O52" s="44"/>
      <c r="P52" s="44"/>
    </row>
    <row r="53" spans="1:16">
      <c r="A53" s="157"/>
      <c r="B53" s="44"/>
      <c r="C53" s="44"/>
      <c r="D53" s="44"/>
      <c r="E53" s="44"/>
      <c r="F53" s="44"/>
      <c r="G53" s="44"/>
      <c r="J53" s="44"/>
      <c r="K53" s="44"/>
      <c r="L53" s="44"/>
      <c r="M53" s="44"/>
      <c r="N53" s="44"/>
      <c r="O53" s="44"/>
      <c r="P53" s="44"/>
    </row>
    <row r="54" spans="1:16">
      <c r="A54" s="157"/>
      <c r="B54" s="44"/>
      <c r="C54" s="44"/>
      <c r="D54" s="44"/>
      <c r="E54" s="44"/>
      <c r="F54" s="44"/>
      <c r="G54" s="44"/>
      <c r="J54" s="44"/>
      <c r="K54" s="44"/>
      <c r="L54" s="44"/>
      <c r="M54" s="44"/>
      <c r="N54" s="44"/>
      <c r="O54" s="44"/>
      <c r="P54" s="44"/>
    </row>
    <row r="55" spans="1:16">
      <c r="A55" s="157"/>
      <c r="B55" s="44"/>
      <c r="C55" s="44"/>
      <c r="D55" s="44"/>
      <c r="E55" s="44"/>
      <c r="F55" s="44"/>
      <c r="G55" s="44"/>
      <c r="J55" s="44"/>
      <c r="K55" s="44"/>
      <c r="L55" s="44"/>
      <c r="M55" s="44"/>
      <c r="N55" s="44"/>
      <c r="O55" s="44"/>
      <c r="P55" s="44"/>
    </row>
    <row r="56" spans="1:16">
      <c r="A56" s="157"/>
      <c r="B56" s="44"/>
      <c r="C56" s="44"/>
      <c r="D56" s="44"/>
      <c r="E56" s="44"/>
      <c r="F56" s="44"/>
      <c r="G56" s="44"/>
      <c r="J56" s="44"/>
      <c r="K56" s="44"/>
      <c r="L56" s="44"/>
      <c r="M56" s="44"/>
      <c r="N56" s="44"/>
      <c r="O56" s="44"/>
      <c r="P56" s="44"/>
    </row>
    <row r="57" spans="1:16">
      <c r="A57" s="157"/>
      <c r="B57" s="44"/>
      <c r="C57" s="44"/>
      <c r="D57" s="44"/>
      <c r="E57" s="44"/>
      <c r="F57" s="44"/>
      <c r="G57" s="44"/>
      <c r="J57" s="44"/>
      <c r="K57" s="44"/>
      <c r="L57" s="44"/>
      <c r="M57" s="44"/>
      <c r="N57" s="44"/>
      <c r="O57" s="44"/>
      <c r="P57" s="44"/>
    </row>
    <row r="58" spans="1:16">
      <c r="A58" s="157"/>
      <c r="B58" s="44"/>
      <c r="C58" s="44"/>
      <c r="D58" s="44"/>
      <c r="E58" s="44"/>
      <c r="F58" s="44"/>
      <c r="G58" s="44"/>
      <c r="J58" s="44"/>
      <c r="K58" s="44"/>
      <c r="L58" s="44"/>
      <c r="M58" s="44"/>
      <c r="N58" s="44"/>
      <c r="O58" s="44"/>
      <c r="P58" s="44"/>
    </row>
    <row r="59" spans="1:16">
      <c r="A59" s="157"/>
      <c r="B59" s="44"/>
      <c r="C59" s="44"/>
      <c r="D59" s="44"/>
      <c r="E59" s="44"/>
      <c r="F59" s="44"/>
      <c r="G59" s="44"/>
      <c r="J59" s="44"/>
      <c r="K59" s="44"/>
      <c r="L59" s="44"/>
      <c r="M59" s="44"/>
      <c r="N59" s="44"/>
      <c r="O59" s="44"/>
      <c r="P59" s="44"/>
    </row>
    <row r="60" spans="1:16">
      <c r="A60" s="157"/>
      <c r="B60" s="44"/>
      <c r="C60" s="44"/>
      <c r="D60" s="44"/>
      <c r="E60" s="44"/>
      <c r="F60" s="44"/>
      <c r="G60" s="44"/>
      <c r="J60" s="44"/>
      <c r="K60" s="44"/>
      <c r="L60" s="44"/>
      <c r="M60" s="44"/>
      <c r="N60" s="44"/>
      <c r="O60" s="44"/>
      <c r="P60" s="44"/>
    </row>
    <row r="61" spans="1:16">
      <c r="A61" s="157"/>
      <c r="B61" s="44"/>
      <c r="C61" s="44"/>
      <c r="D61" s="44"/>
      <c r="E61" s="44"/>
      <c r="F61" s="44"/>
      <c r="G61" s="44"/>
      <c r="J61" s="44"/>
      <c r="K61" s="44"/>
      <c r="L61" s="44"/>
      <c r="M61" s="44"/>
      <c r="N61" s="44"/>
      <c r="O61" s="44"/>
      <c r="P61" s="44"/>
    </row>
    <row r="62" spans="1:16">
      <c r="A62" s="157"/>
      <c r="B62" s="44"/>
      <c r="C62" s="44"/>
      <c r="D62" s="44"/>
      <c r="E62" s="44"/>
      <c r="F62" s="44"/>
      <c r="G62" s="44"/>
      <c r="J62" s="44"/>
      <c r="K62" s="44"/>
      <c r="L62" s="44"/>
      <c r="M62" s="44"/>
      <c r="N62" s="44"/>
      <c r="O62" s="44"/>
      <c r="P62" s="44"/>
    </row>
    <row r="63" spans="1:16">
      <c r="A63" s="157"/>
      <c r="B63" s="44"/>
      <c r="C63" s="44"/>
      <c r="D63" s="44"/>
      <c r="E63" s="44"/>
      <c r="F63" s="44"/>
      <c r="G63" s="44"/>
      <c r="J63" s="44"/>
      <c r="K63" s="44"/>
      <c r="L63" s="44"/>
      <c r="M63" s="44"/>
      <c r="N63" s="44"/>
      <c r="O63" s="44"/>
      <c r="P63" s="44"/>
    </row>
    <row r="64" spans="1:16">
      <c r="A64" s="157"/>
      <c r="B64" s="44"/>
      <c r="C64" s="44"/>
      <c r="D64" s="44"/>
      <c r="E64" s="44"/>
      <c r="F64" s="44"/>
      <c r="G64" s="44"/>
      <c r="J64" s="44"/>
      <c r="K64" s="44"/>
      <c r="L64" s="44"/>
      <c r="M64" s="44"/>
      <c r="N64" s="44"/>
      <c r="O64" s="44"/>
      <c r="P64" s="44"/>
    </row>
    <row r="65" spans="1:16">
      <c r="A65" s="157"/>
      <c r="B65" s="44"/>
      <c r="C65" s="44"/>
      <c r="D65" s="44"/>
      <c r="E65" s="44"/>
      <c r="F65" s="44"/>
      <c r="G65" s="44"/>
      <c r="J65" s="44"/>
      <c r="K65" s="44"/>
      <c r="L65" s="44"/>
      <c r="M65" s="44"/>
      <c r="N65" s="44"/>
      <c r="O65" s="44"/>
      <c r="P65" s="44"/>
    </row>
    <row r="66" spans="1:16">
      <c r="A66" s="157"/>
      <c r="B66" s="44"/>
      <c r="C66" s="44"/>
      <c r="D66" s="44"/>
      <c r="E66" s="44"/>
      <c r="F66" s="44"/>
      <c r="G66" s="44"/>
      <c r="J66" s="44"/>
      <c r="K66" s="44"/>
      <c r="L66" s="44"/>
      <c r="M66" s="44"/>
      <c r="N66" s="44"/>
      <c r="O66" s="44"/>
      <c r="P66" s="44"/>
    </row>
  </sheetData>
  <mergeCells count="1">
    <mergeCell ref="B2:G2"/>
  </mergeCells>
  <hyperlinks>
    <hyperlink ref="F5" location="'Customer Index'!A8" display="Customer Code"/>
    <hyperlink ref="G5" location="'Customer Index'!A37" display="Bas30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="85" zoomScaleNormal="85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249</v>
      </c>
      <c r="B3" s="51"/>
      <c r="C3" s="51"/>
      <c r="F3" s="52" t="s">
        <v>106</v>
      </c>
      <c r="G3" s="53">
        <v>9849261497</v>
      </c>
      <c r="H3" s="54"/>
    </row>
    <row r="5" spans="1:22">
      <c r="A5" s="50" t="s">
        <v>199</v>
      </c>
      <c r="B5" s="51"/>
      <c r="C5" s="51"/>
      <c r="D5" s="51"/>
      <c r="E5" s="51"/>
      <c r="F5" s="89" t="s">
        <v>18</v>
      </c>
      <c r="G5" s="175" t="s">
        <v>85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5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3244.0750000000003</v>
      </c>
      <c r="S8" s="44">
        <f>SUM(K8:K46)</f>
        <v>0</v>
      </c>
      <c r="T8" s="44">
        <f>(R8-S8)</f>
        <v>3244.0750000000003</v>
      </c>
      <c r="U8" s="44">
        <f>SUM(D8:D45)</f>
        <v>8.8000000000000007</v>
      </c>
      <c r="V8" s="44"/>
    </row>
    <row r="9" spans="1:22">
      <c r="A9" s="62" t="s">
        <v>121</v>
      </c>
      <c r="B9" s="24"/>
      <c r="C9" s="24"/>
      <c r="D9" s="24"/>
      <c r="E9" s="24">
        <f t="shared" ref="E9:E56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5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73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96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96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55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96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96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96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96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96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96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96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 t="s">
        <v>120</v>
      </c>
      <c r="H35" s="20"/>
      <c r="I35" s="20"/>
      <c r="J35" s="96" t="s">
        <v>149</v>
      </c>
      <c r="K35" s="44"/>
      <c r="L35" s="44">
        <f t="shared" si="2"/>
        <v>0</v>
      </c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 t="s">
        <v>120</v>
      </c>
      <c r="H36" s="20"/>
      <c r="I36" s="20"/>
      <c r="J36" s="96" t="s">
        <v>150</v>
      </c>
      <c r="K36" s="44"/>
      <c r="L36" s="44">
        <f t="shared" si="2"/>
        <v>0</v>
      </c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 t="s">
        <v>120</v>
      </c>
      <c r="H37" s="20"/>
      <c r="I37" s="20"/>
      <c r="J37" s="96" t="s">
        <v>151</v>
      </c>
      <c r="K37" s="44"/>
      <c r="L37" s="44">
        <f t="shared" si="2"/>
        <v>0</v>
      </c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 t="s">
        <v>120</v>
      </c>
      <c r="H38" s="20"/>
      <c r="I38" s="20"/>
      <c r="J38" s="96" t="s">
        <v>152</v>
      </c>
      <c r="K38" s="44"/>
      <c r="L38" s="44">
        <f t="shared" si="2"/>
        <v>0</v>
      </c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/>
      <c r="C39" s="93"/>
      <c r="D39" s="93"/>
      <c r="E39" s="93">
        <f t="shared" si="1"/>
        <v>0</v>
      </c>
      <c r="F39" s="93">
        <f t="shared" si="0"/>
        <v>0</v>
      </c>
      <c r="G39" s="93" t="s">
        <v>120</v>
      </c>
      <c r="H39" s="20"/>
      <c r="I39" s="20"/>
      <c r="J39" s="96" t="s">
        <v>153</v>
      </c>
      <c r="K39" s="44"/>
      <c r="L39" s="44">
        <f t="shared" si="2"/>
        <v>0</v>
      </c>
      <c r="M39" s="44">
        <f t="shared" si="8"/>
        <v>0</v>
      </c>
      <c r="N39" s="44" t="str">
        <f t="shared" si="6"/>
        <v>Cr</v>
      </c>
      <c r="O39" s="44">
        <f t="shared" si="5"/>
        <v>0</v>
      </c>
      <c r="P39" s="44"/>
    </row>
    <row r="40" spans="1:16">
      <c r="A40" s="96" t="s">
        <v>154</v>
      </c>
      <c r="B40" s="93"/>
      <c r="C40" s="93"/>
      <c r="D40" s="93"/>
      <c r="E40" s="93">
        <f t="shared" si="1"/>
        <v>0</v>
      </c>
      <c r="F40" s="93">
        <f t="shared" si="0"/>
        <v>0</v>
      </c>
      <c r="G40" s="93" t="s">
        <v>155</v>
      </c>
      <c r="H40" s="20"/>
      <c r="I40" s="20"/>
      <c r="J40" s="96" t="s">
        <v>154</v>
      </c>
      <c r="K40" s="155"/>
      <c r="L40" s="44">
        <f t="shared" si="2"/>
        <v>0</v>
      </c>
      <c r="M40" s="44">
        <f t="shared" si="8"/>
        <v>0</v>
      </c>
      <c r="N40" s="44" t="str">
        <f t="shared" si="6"/>
        <v>Cr</v>
      </c>
      <c r="O40" s="44">
        <f t="shared" si="5"/>
        <v>0</v>
      </c>
      <c r="P40" s="44"/>
    </row>
    <row r="41" spans="1:16">
      <c r="A41" s="96" t="s">
        <v>156</v>
      </c>
      <c r="B41" s="93"/>
      <c r="C41" s="93"/>
      <c r="D41" s="93"/>
      <c r="E41" s="93">
        <f t="shared" si="1"/>
        <v>0</v>
      </c>
      <c r="F41" s="93">
        <f t="shared" si="0"/>
        <v>0</v>
      </c>
      <c r="G41" s="93" t="s">
        <v>155</v>
      </c>
      <c r="H41" s="20"/>
      <c r="I41" s="20"/>
      <c r="J41" s="96" t="s">
        <v>156</v>
      </c>
      <c r="K41" s="44"/>
      <c r="L41" s="44">
        <f t="shared" si="2"/>
        <v>0</v>
      </c>
      <c r="M41" s="44">
        <f t="shared" si="8"/>
        <v>0</v>
      </c>
      <c r="N41" s="44" t="str">
        <f t="shared" si="6"/>
        <v>Cr</v>
      </c>
      <c r="O41" s="44">
        <f t="shared" si="5"/>
        <v>0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 t="s">
        <v>120</v>
      </c>
      <c r="H42" s="20"/>
      <c r="I42" s="20"/>
      <c r="J42" s="96" t="s">
        <v>157</v>
      </c>
      <c r="K42" s="44"/>
      <c r="L42" s="44">
        <f t="shared" si="2"/>
        <v>0</v>
      </c>
      <c r="M42" s="44">
        <f t="shared" si="8"/>
        <v>0</v>
      </c>
      <c r="N42" s="44" t="str">
        <f t="shared" si="6"/>
        <v>Cr</v>
      </c>
      <c r="O42" s="44">
        <f t="shared" si="5"/>
        <v>0</v>
      </c>
      <c r="P42" s="44"/>
    </row>
    <row r="43" spans="1:16">
      <c r="A43" s="96" t="s">
        <v>158</v>
      </c>
      <c r="B43" s="93">
        <v>6</v>
      </c>
      <c r="C43" s="93">
        <v>9</v>
      </c>
      <c r="D43" s="93">
        <v>3.3</v>
      </c>
      <c r="E43" s="93">
        <f t="shared" si="1"/>
        <v>75</v>
      </c>
      <c r="F43" s="93">
        <f t="shared" si="0"/>
        <v>247.5</v>
      </c>
      <c r="G43" s="93" t="s">
        <v>120</v>
      </c>
      <c r="H43" s="20"/>
      <c r="I43" s="20"/>
      <c r="J43" s="96" t="s">
        <v>158</v>
      </c>
      <c r="K43" s="71"/>
      <c r="L43" s="44">
        <f t="shared" si="2"/>
        <v>247.5</v>
      </c>
      <c r="M43" s="44">
        <f t="shared" si="8"/>
        <v>247.5</v>
      </c>
      <c r="N43" s="44" t="str">
        <f t="shared" si="6"/>
        <v>Cr</v>
      </c>
      <c r="O43" s="44">
        <f t="shared" si="5"/>
        <v>3.3</v>
      </c>
      <c r="P43" s="71"/>
    </row>
    <row r="44" spans="1:16">
      <c r="A44" s="96" t="s">
        <v>159</v>
      </c>
      <c r="B44" s="93">
        <v>6.8</v>
      </c>
      <c r="C44" s="93">
        <v>9.5</v>
      </c>
      <c r="D44" s="93">
        <v>2.5</v>
      </c>
      <c r="E44" s="93">
        <f t="shared" si="1"/>
        <v>82.199999999999989</v>
      </c>
      <c r="F44" s="93">
        <f t="shared" si="0"/>
        <v>205.49999999999997</v>
      </c>
      <c r="G44" s="93" t="s">
        <v>120</v>
      </c>
      <c r="H44" s="20"/>
      <c r="I44" s="20"/>
      <c r="J44" s="96" t="s">
        <v>159</v>
      </c>
      <c r="K44" s="44"/>
      <c r="L44" s="44">
        <f t="shared" si="2"/>
        <v>453</v>
      </c>
      <c r="M44" s="44">
        <f t="shared" si="8"/>
        <v>453</v>
      </c>
      <c r="N44" s="44"/>
      <c r="O44" s="44"/>
      <c r="P44" s="44"/>
    </row>
    <row r="45" spans="1:16">
      <c r="A45" s="96" t="s">
        <v>160</v>
      </c>
      <c r="B45" s="99">
        <v>7.1</v>
      </c>
      <c r="C45" s="99">
        <v>9.6999999999999993</v>
      </c>
      <c r="D45" s="99">
        <v>3</v>
      </c>
      <c r="E45" s="93">
        <f t="shared" si="1"/>
        <v>84.949999999999989</v>
      </c>
      <c r="F45" s="93">
        <f t="shared" si="0"/>
        <v>254.84999999999997</v>
      </c>
      <c r="G45" s="93" t="s">
        <v>120</v>
      </c>
      <c r="H45" s="20"/>
      <c r="I45" s="20"/>
      <c r="J45" s="96" t="s">
        <v>160</v>
      </c>
      <c r="K45" s="86"/>
      <c r="L45" s="44">
        <f t="shared" si="2"/>
        <v>707.84999999999991</v>
      </c>
      <c r="M45" s="44">
        <f t="shared" si="8"/>
        <v>707.84999999999991</v>
      </c>
      <c r="N45" s="86"/>
      <c r="O45" s="86"/>
      <c r="P45" s="86"/>
    </row>
    <row r="46" spans="1:16">
      <c r="A46" s="96" t="s">
        <v>161</v>
      </c>
      <c r="B46" s="44">
        <v>6.6</v>
      </c>
      <c r="C46" s="44">
        <v>9.8000000000000007</v>
      </c>
      <c r="D46" s="44">
        <v>3.4</v>
      </c>
      <c r="E46" s="93">
        <f t="shared" si="1"/>
        <v>82.1</v>
      </c>
      <c r="F46" s="93">
        <f t="shared" si="0"/>
        <v>279.14</v>
      </c>
      <c r="G46" s="93" t="s">
        <v>120</v>
      </c>
      <c r="J46" s="96" t="s">
        <v>161</v>
      </c>
      <c r="K46" s="44"/>
      <c r="L46" s="44">
        <f t="shared" si="2"/>
        <v>986.9899999999999</v>
      </c>
      <c r="M46" s="44">
        <f t="shared" si="8"/>
        <v>986.9899999999999</v>
      </c>
      <c r="N46" s="44"/>
      <c r="O46" s="44"/>
      <c r="P46" s="44"/>
    </row>
    <row r="47" spans="1:16">
      <c r="A47" s="96" t="s">
        <v>162</v>
      </c>
      <c r="B47" s="44">
        <v>7.2</v>
      </c>
      <c r="C47" s="44">
        <v>9.3000000000000007</v>
      </c>
      <c r="D47" s="44">
        <v>2.8</v>
      </c>
      <c r="E47" s="93">
        <f t="shared" si="1"/>
        <v>84</v>
      </c>
      <c r="F47" s="93">
        <f t="shared" si="0"/>
        <v>235.2</v>
      </c>
      <c r="G47" s="93" t="s">
        <v>120</v>
      </c>
      <c r="J47" s="96" t="s">
        <v>162</v>
      </c>
      <c r="K47" s="44"/>
      <c r="L47" s="44">
        <f t="shared" si="2"/>
        <v>1222.1899999999998</v>
      </c>
      <c r="M47" s="44">
        <f t="shared" si="8"/>
        <v>1222.1899999999998</v>
      </c>
      <c r="N47" s="44"/>
      <c r="O47" s="44"/>
      <c r="P47" s="44"/>
    </row>
    <row r="48" spans="1:16">
      <c r="A48" s="96" t="s">
        <v>163</v>
      </c>
      <c r="B48" s="44">
        <v>6.1</v>
      </c>
      <c r="C48" s="44">
        <v>9</v>
      </c>
      <c r="D48" s="44">
        <v>2.2000000000000002</v>
      </c>
      <c r="E48" s="93">
        <f t="shared" si="1"/>
        <v>75.650000000000006</v>
      </c>
      <c r="F48" s="93">
        <f t="shared" si="0"/>
        <v>166.43000000000004</v>
      </c>
      <c r="G48" s="93" t="s">
        <v>120</v>
      </c>
      <c r="J48" s="96" t="s">
        <v>163</v>
      </c>
      <c r="K48" s="44"/>
      <c r="L48" s="44">
        <f t="shared" si="2"/>
        <v>1388.62</v>
      </c>
      <c r="M48" s="44">
        <f t="shared" si="8"/>
        <v>1388.62</v>
      </c>
      <c r="N48" s="44"/>
      <c r="O48" s="44"/>
      <c r="P48" s="44"/>
    </row>
    <row r="49" spans="1:16">
      <c r="A49" s="96" t="s">
        <v>164</v>
      </c>
      <c r="B49" s="44">
        <v>5.9</v>
      </c>
      <c r="C49" s="44">
        <v>9.8000000000000007</v>
      </c>
      <c r="D49" s="44">
        <v>3.8</v>
      </c>
      <c r="E49" s="93">
        <f t="shared" si="1"/>
        <v>77.550000000000011</v>
      </c>
      <c r="F49" s="93">
        <f t="shared" si="0"/>
        <v>294.69000000000005</v>
      </c>
      <c r="G49" s="93" t="s">
        <v>120</v>
      </c>
      <c r="J49" s="96" t="s">
        <v>164</v>
      </c>
      <c r="K49" s="44"/>
      <c r="L49" s="44">
        <f t="shared" si="2"/>
        <v>1683.31</v>
      </c>
      <c r="M49" s="44">
        <f t="shared" si="8"/>
        <v>1683.31</v>
      </c>
      <c r="N49" s="44"/>
      <c r="O49" s="44"/>
      <c r="P49" s="44"/>
    </row>
    <row r="50" spans="1:16">
      <c r="A50" s="96" t="s">
        <v>165</v>
      </c>
      <c r="B50" s="44">
        <v>6.8</v>
      </c>
      <c r="C50" s="44">
        <v>9.5</v>
      </c>
      <c r="D50" s="44">
        <v>3</v>
      </c>
      <c r="E50" s="93">
        <f t="shared" si="1"/>
        <v>82.199999999999989</v>
      </c>
      <c r="F50" s="93">
        <f t="shared" si="0"/>
        <v>246.59999999999997</v>
      </c>
      <c r="G50" s="93" t="s">
        <v>120</v>
      </c>
      <c r="J50" s="96" t="s">
        <v>165</v>
      </c>
      <c r="K50" s="44"/>
      <c r="L50" s="44">
        <f t="shared" si="2"/>
        <v>1929.9099999999999</v>
      </c>
      <c r="M50" s="44">
        <f t="shared" si="8"/>
        <v>1929.9099999999999</v>
      </c>
      <c r="N50" s="44"/>
      <c r="O50" s="44"/>
      <c r="P50" s="44"/>
    </row>
    <row r="51" spans="1:16">
      <c r="A51" s="96" t="s">
        <v>166</v>
      </c>
      <c r="B51" s="44">
        <v>6.9</v>
      </c>
      <c r="C51" s="44">
        <v>9.3000000000000007</v>
      </c>
      <c r="D51" s="44">
        <v>2.5</v>
      </c>
      <c r="E51" s="93">
        <f t="shared" si="1"/>
        <v>82.050000000000011</v>
      </c>
      <c r="F51" s="93">
        <f t="shared" si="0"/>
        <v>205.12500000000003</v>
      </c>
      <c r="G51" s="93" t="s">
        <v>120</v>
      </c>
      <c r="J51" s="96" t="s">
        <v>166</v>
      </c>
      <c r="K51" s="44"/>
      <c r="L51" s="44">
        <f t="shared" si="2"/>
        <v>2135.0349999999999</v>
      </c>
      <c r="M51" s="44">
        <f t="shared" si="8"/>
        <v>2135.0349999999999</v>
      </c>
      <c r="N51" s="44"/>
      <c r="O51" s="44"/>
      <c r="P51" s="44"/>
    </row>
    <row r="52" spans="1:16">
      <c r="A52" s="96" t="s">
        <v>167</v>
      </c>
      <c r="B52" s="44">
        <v>6</v>
      </c>
      <c r="C52" s="44">
        <v>9.6</v>
      </c>
      <c r="D52" s="44">
        <v>4</v>
      </c>
      <c r="E52" s="93">
        <f t="shared" si="1"/>
        <v>77.400000000000006</v>
      </c>
      <c r="F52" s="93">
        <f t="shared" si="0"/>
        <v>309.60000000000002</v>
      </c>
      <c r="G52" s="93" t="s">
        <v>120</v>
      </c>
      <c r="J52" s="96" t="s">
        <v>167</v>
      </c>
      <c r="K52" s="44"/>
      <c r="L52" s="44">
        <f t="shared" si="2"/>
        <v>2444.6349999999998</v>
      </c>
      <c r="M52" s="44">
        <f t="shared" si="8"/>
        <v>2444.6349999999998</v>
      </c>
      <c r="N52" s="44"/>
      <c r="O52" s="44"/>
      <c r="P52" s="44"/>
    </row>
    <row r="53" spans="1:16">
      <c r="A53" s="96" t="s">
        <v>166</v>
      </c>
      <c r="B53" s="44">
        <v>6.7</v>
      </c>
      <c r="C53" s="44">
        <v>9.1999999999999993</v>
      </c>
      <c r="D53" s="44">
        <v>3</v>
      </c>
      <c r="E53" s="93">
        <f t="shared" si="1"/>
        <v>80.349999999999994</v>
      </c>
      <c r="F53" s="93">
        <f t="shared" si="0"/>
        <v>241.04999999999998</v>
      </c>
      <c r="G53" s="93" t="s">
        <v>120</v>
      </c>
      <c r="J53" s="96" t="s">
        <v>166</v>
      </c>
      <c r="K53" s="44"/>
      <c r="L53" s="44">
        <f t="shared" si="2"/>
        <v>2685.6849999999999</v>
      </c>
      <c r="M53" s="44">
        <f t="shared" si="8"/>
        <v>2685.6849999999999</v>
      </c>
      <c r="N53" s="44"/>
      <c r="O53" s="44"/>
      <c r="P53" s="44"/>
    </row>
    <row r="54" spans="1:16">
      <c r="A54" s="98" t="s">
        <v>167</v>
      </c>
      <c r="B54" s="86">
        <v>6</v>
      </c>
      <c r="C54" s="86">
        <v>9.6</v>
      </c>
      <c r="D54" s="86">
        <v>4.0999999999999996</v>
      </c>
      <c r="E54" s="99">
        <f t="shared" si="1"/>
        <v>77.400000000000006</v>
      </c>
      <c r="F54" s="99">
        <f t="shared" si="0"/>
        <v>317.33999999999997</v>
      </c>
      <c r="G54" s="93" t="s">
        <v>120</v>
      </c>
      <c r="J54" s="98" t="s">
        <v>167</v>
      </c>
      <c r="K54" s="86">
        <v>2000</v>
      </c>
      <c r="L54" s="44">
        <f t="shared" si="2"/>
        <v>3003.0250000000001</v>
      </c>
      <c r="M54" s="44">
        <f t="shared" si="8"/>
        <v>1003.0250000000001</v>
      </c>
      <c r="N54" s="86"/>
      <c r="O54" s="86"/>
      <c r="P54" s="86"/>
    </row>
    <row r="55" spans="1:16">
      <c r="A55" s="181" t="s">
        <v>168</v>
      </c>
      <c r="B55" s="87">
        <v>6.7</v>
      </c>
      <c r="C55" s="87">
        <v>9.1999999999999993</v>
      </c>
      <c r="D55" s="87">
        <v>3</v>
      </c>
      <c r="E55" s="153">
        <f t="shared" si="1"/>
        <v>80.349999999999994</v>
      </c>
      <c r="F55" s="153">
        <f t="shared" si="0"/>
        <v>241.04999999999998</v>
      </c>
      <c r="G55" s="93" t="s">
        <v>120</v>
      </c>
      <c r="J55" s="181" t="s">
        <v>168</v>
      </c>
      <c r="K55" s="87">
        <v>1244</v>
      </c>
      <c r="L55" s="44">
        <f t="shared" si="2"/>
        <v>3244.0750000000003</v>
      </c>
      <c r="M55" s="44">
        <f t="shared" si="8"/>
        <v>7.5000000000045475E-2</v>
      </c>
      <c r="N55" s="87"/>
      <c r="O55" s="87"/>
      <c r="P55" s="87"/>
    </row>
    <row r="56" spans="1:16">
      <c r="A56" s="83"/>
      <c r="B56" s="20"/>
      <c r="C56" s="20"/>
      <c r="D56" s="20"/>
      <c r="E56" s="164">
        <f t="shared" si="1"/>
        <v>0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38" display="Bas31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Normal="100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250</v>
      </c>
      <c r="B3" s="51"/>
      <c r="C3" s="51"/>
      <c r="F3" s="52" t="s">
        <v>106</v>
      </c>
      <c r="G3" s="53" t="s">
        <v>251</v>
      </c>
      <c r="H3" s="54"/>
    </row>
    <row r="5" spans="1:22">
      <c r="A5" s="50" t="s">
        <v>199</v>
      </c>
      <c r="B5" s="51"/>
      <c r="C5" s="51"/>
      <c r="D5" s="51"/>
      <c r="E5" s="51"/>
      <c r="F5" s="182" t="s">
        <v>18</v>
      </c>
      <c r="G5" s="175" t="s">
        <v>87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 t="s">
        <v>120</v>
      </c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2527.8100000000004</v>
      </c>
      <c r="S8" s="44">
        <f>SUM(K8:K46)</f>
        <v>0</v>
      </c>
      <c r="T8" s="44">
        <f>(R8-S8)</f>
        <v>2527.8100000000004</v>
      </c>
      <c r="U8" s="44">
        <f>SUM(D8:D45)</f>
        <v>24.200000000000003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 t="s">
        <v>120</v>
      </c>
      <c r="H9" s="20"/>
      <c r="I9" s="20"/>
      <c r="J9" s="62" t="s">
        <v>121</v>
      </c>
      <c r="K9" s="44"/>
      <c r="L9" s="44">
        <f t="shared" ref="L9:L5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5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 t="s">
        <v>120</v>
      </c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 t="s">
        <v>120</v>
      </c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 t="s">
        <v>155</v>
      </c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 t="s">
        <v>120</v>
      </c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 t="s">
        <v>155</v>
      </c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 t="s">
        <v>120</v>
      </c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 t="s">
        <v>120</v>
      </c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 t="s">
        <v>120</v>
      </c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 t="s">
        <v>120</v>
      </c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 t="s">
        <v>120</v>
      </c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 t="s">
        <v>120</v>
      </c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 t="s">
        <v>120</v>
      </c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 t="s">
        <v>120</v>
      </c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 t="s">
        <v>120</v>
      </c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 t="s">
        <v>120</v>
      </c>
      <c r="H24" s="20"/>
      <c r="I24" s="20"/>
      <c r="J24" s="73" t="s">
        <v>138</v>
      </c>
      <c r="K24" s="78"/>
      <c r="L24" s="44">
        <f t="shared" si="2"/>
        <v>0</v>
      </c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 t="s">
        <v>120</v>
      </c>
      <c r="H25" s="20"/>
      <c r="I25" s="20"/>
      <c r="J25" s="96" t="s">
        <v>139</v>
      </c>
      <c r="K25" s="44"/>
      <c r="L25" s="44">
        <f t="shared" si="2"/>
        <v>0</v>
      </c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 t="s">
        <v>120</v>
      </c>
      <c r="H26" s="20"/>
      <c r="I26" s="20"/>
      <c r="J26" s="96" t="s">
        <v>140</v>
      </c>
      <c r="K26" s="44"/>
      <c r="L26" s="44">
        <f t="shared" si="2"/>
        <v>0</v>
      </c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 t="s">
        <v>120</v>
      </c>
      <c r="H27" s="20"/>
      <c r="I27" s="20"/>
      <c r="J27" s="96" t="s">
        <v>141</v>
      </c>
      <c r="K27" s="44"/>
      <c r="L27" s="44">
        <f t="shared" si="2"/>
        <v>0</v>
      </c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 t="s">
        <v>120</v>
      </c>
      <c r="H28" s="20"/>
      <c r="I28" s="20"/>
      <c r="J28" s="96" t="s">
        <v>142</v>
      </c>
      <c r="K28" s="44"/>
      <c r="L28" s="44">
        <f t="shared" si="2"/>
        <v>0</v>
      </c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 t="s">
        <v>120</v>
      </c>
      <c r="H29" s="20"/>
      <c r="I29" s="20"/>
      <c r="J29" s="96" t="s">
        <v>143</v>
      </c>
      <c r="K29" s="44"/>
      <c r="L29" s="44">
        <f t="shared" si="2"/>
        <v>0</v>
      </c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 t="s">
        <v>120</v>
      </c>
      <c r="H30" s="20"/>
      <c r="I30" s="20"/>
      <c r="J30" s="96" t="s">
        <v>144</v>
      </c>
      <c r="K30" s="44"/>
      <c r="L30" s="44">
        <f t="shared" si="2"/>
        <v>0</v>
      </c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 t="s">
        <v>120</v>
      </c>
      <c r="H31" s="20"/>
      <c r="I31" s="20"/>
      <c r="J31" s="96" t="s">
        <v>145</v>
      </c>
      <c r="K31" s="44"/>
      <c r="L31" s="44">
        <f t="shared" si="2"/>
        <v>0</v>
      </c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 t="s">
        <v>120</v>
      </c>
      <c r="H32" s="20"/>
      <c r="I32" s="20"/>
      <c r="J32" s="96" t="s">
        <v>146</v>
      </c>
      <c r="K32" s="44"/>
      <c r="L32" s="44">
        <f t="shared" si="2"/>
        <v>0</v>
      </c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 t="s">
        <v>155</v>
      </c>
      <c r="H33" s="20"/>
      <c r="I33" s="20"/>
      <c r="J33" s="96" t="s">
        <v>147</v>
      </c>
      <c r="K33" s="44"/>
      <c r="L33" s="44">
        <f t="shared" si="2"/>
        <v>0</v>
      </c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 t="s">
        <v>120</v>
      </c>
      <c r="H34" s="20"/>
      <c r="I34" s="20"/>
      <c r="J34" s="96" t="s">
        <v>148</v>
      </c>
      <c r="K34" s="44"/>
      <c r="L34" s="44">
        <f t="shared" si="2"/>
        <v>0</v>
      </c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>
        <v>5.74</v>
      </c>
      <c r="C35" s="93">
        <v>8.98</v>
      </c>
      <c r="D35" s="93">
        <v>2.7</v>
      </c>
      <c r="E35" s="24">
        <f t="shared" si="1"/>
        <v>73.23</v>
      </c>
      <c r="F35" s="93">
        <f t="shared" si="0"/>
        <v>197.72100000000003</v>
      </c>
      <c r="G35" s="93" t="s">
        <v>120</v>
      </c>
      <c r="H35" s="20"/>
      <c r="I35" s="20"/>
      <c r="J35" s="96" t="s">
        <v>149</v>
      </c>
      <c r="K35" s="44"/>
      <c r="L35" s="44">
        <f t="shared" si="2"/>
        <v>197.72100000000003</v>
      </c>
      <c r="M35" s="44">
        <f t="shared" si="8"/>
        <v>197.72100000000003</v>
      </c>
      <c r="N35" s="44" t="str">
        <f t="shared" si="6"/>
        <v>Cr</v>
      </c>
      <c r="O35" s="44">
        <f t="shared" si="5"/>
        <v>2.7</v>
      </c>
      <c r="P35" s="44"/>
    </row>
    <row r="36" spans="1:16">
      <c r="A36" s="96" t="s">
        <v>150</v>
      </c>
      <c r="B36" s="93">
        <v>5.96</v>
      </c>
      <c r="C36" s="93">
        <v>9.01</v>
      </c>
      <c r="D36" s="93">
        <v>2.2999999999999998</v>
      </c>
      <c r="E36" s="24">
        <f t="shared" si="1"/>
        <v>74.78</v>
      </c>
      <c r="F36" s="93">
        <f t="shared" si="0"/>
        <v>171.994</v>
      </c>
      <c r="G36" s="93" t="s">
        <v>120</v>
      </c>
      <c r="H36" s="20"/>
      <c r="I36" s="20"/>
      <c r="J36" s="96" t="s">
        <v>150</v>
      </c>
      <c r="K36" s="44"/>
      <c r="L36" s="44">
        <f t="shared" si="2"/>
        <v>369.71500000000003</v>
      </c>
      <c r="M36" s="44">
        <f t="shared" si="8"/>
        <v>369.71500000000003</v>
      </c>
      <c r="N36" s="44" t="str">
        <f t="shared" si="6"/>
        <v>Cr</v>
      </c>
      <c r="O36" s="44">
        <f t="shared" si="5"/>
        <v>5</v>
      </c>
      <c r="P36" s="44"/>
    </row>
    <row r="37" spans="1:16">
      <c r="A37" s="96" t="s">
        <v>151</v>
      </c>
      <c r="B37" s="93">
        <v>5.8</v>
      </c>
      <c r="C37" s="93">
        <v>9.02</v>
      </c>
      <c r="D37" s="93">
        <v>2.5</v>
      </c>
      <c r="E37" s="24">
        <f t="shared" si="1"/>
        <v>73.78</v>
      </c>
      <c r="F37" s="93">
        <f t="shared" si="0"/>
        <v>184.45</v>
      </c>
      <c r="G37" s="93" t="s">
        <v>120</v>
      </c>
      <c r="H37" s="20"/>
      <c r="I37" s="20"/>
      <c r="J37" s="96" t="s">
        <v>151</v>
      </c>
      <c r="K37" s="44"/>
      <c r="L37" s="44">
        <f t="shared" si="2"/>
        <v>554.16499999999996</v>
      </c>
      <c r="M37" s="44">
        <f t="shared" si="8"/>
        <v>554.16499999999996</v>
      </c>
      <c r="N37" s="44" t="str">
        <f t="shared" si="6"/>
        <v>Cr</v>
      </c>
      <c r="O37" s="44">
        <f t="shared" si="5"/>
        <v>7.5</v>
      </c>
      <c r="P37" s="44"/>
    </row>
    <row r="38" spans="1:16">
      <c r="A38" s="96" t="s">
        <v>152</v>
      </c>
      <c r="B38" s="93">
        <v>4</v>
      </c>
      <c r="C38" s="93">
        <v>6.6</v>
      </c>
      <c r="D38" s="93">
        <v>2.2999999999999998</v>
      </c>
      <c r="E38" s="24">
        <f t="shared" si="1"/>
        <v>52.4</v>
      </c>
      <c r="F38" s="93">
        <f t="shared" si="0"/>
        <v>120.51999999999998</v>
      </c>
      <c r="G38" s="93" t="s">
        <v>120</v>
      </c>
      <c r="H38" s="20"/>
      <c r="I38" s="20"/>
      <c r="J38" s="96" t="s">
        <v>152</v>
      </c>
      <c r="K38" s="44"/>
      <c r="L38" s="44">
        <f t="shared" si="2"/>
        <v>674.68499999999995</v>
      </c>
      <c r="M38" s="44">
        <f t="shared" si="8"/>
        <v>674.68499999999995</v>
      </c>
      <c r="N38" s="44" t="str">
        <f t="shared" si="6"/>
        <v>Cr</v>
      </c>
      <c r="O38" s="44">
        <f t="shared" si="5"/>
        <v>9.8000000000000007</v>
      </c>
      <c r="P38" s="44"/>
    </row>
    <row r="39" spans="1:16">
      <c r="A39" s="66" t="s">
        <v>153</v>
      </c>
      <c r="B39" s="68"/>
      <c r="C39" s="68"/>
      <c r="D39" s="68"/>
      <c r="E39" s="68">
        <f t="shared" si="1"/>
        <v>0</v>
      </c>
      <c r="F39" s="68">
        <f t="shared" si="0"/>
        <v>0</v>
      </c>
      <c r="G39" s="68" t="s">
        <v>155</v>
      </c>
      <c r="H39" s="20"/>
      <c r="I39" s="20"/>
      <c r="J39" s="96" t="s">
        <v>153</v>
      </c>
      <c r="K39" s="44"/>
      <c r="L39" s="44">
        <f t="shared" si="2"/>
        <v>674.68499999999995</v>
      </c>
      <c r="M39" s="44">
        <f t="shared" si="8"/>
        <v>674.68499999999995</v>
      </c>
      <c r="N39" s="44" t="str">
        <f t="shared" si="6"/>
        <v>Cr</v>
      </c>
      <c r="O39" s="44">
        <f t="shared" si="5"/>
        <v>9.8000000000000007</v>
      </c>
      <c r="P39" s="44"/>
    </row>
    <row r="40" spans="1:16">
      <c r="A40" s="96" t="s">
        <v>154</v>
      </c>
      <c r="B40" s="93">
        <v>6</v>
      </c>
      <c r="C40" s="93">
        <v>9.3000000000000007</v>
      </c>
      <c r="D40" s="93">
        <v>2.2000000000000002</v>
      </c>
      <c r="E40" s="93">
        <f t="shared" si="1"/>
        <v>76.2</v>
      </c>
      <c r="F40" s="93">
        <f t="shared" si="0"/>
        <v>167.64000000000001</v>
      </c>
      <c r="G40" s="93" t="s">
        <v>120</v>
      </c>
      <c r="H40" s="20"/>
      <c r="I40" s="20"/>
      <c r="J40" s="96" t="s">
        <v>154</v>
      </c>
      <c r="K40" s="155"/>
      <c r="L40" s="44">
        <f t="shared" si="2"/>
        <v>842.32499999999993</v>
      </c>
      <c r="M40" s="44">
        <f t="shared" si="8"/>
        <v>842.32499999999993</v>
      </c>
      <c r="N40" s="44" t="str">
        <f t="shared" si="6"/>
        <v>Cr</v>
      </c>
      <c r="O40" s="44">
        <f t="shared" si="5"/>
        <v>12</v>
      </c>
      <c r="P40" s="44"/>
    </row>
    <row r="41" spans="1:16">
      <c r="A41" s="96" t="s">
        <v>156</v>
      </c>
      <c r="B41" s="93">
        <v>5.8</v>
      </c>
      <c r="C41" s="93">
        <v>8.1999999999999993</v>
      </c>
      <c r="D41" s="93">
        <v>2.5</v>
      </c>
      <c r="E41" s="93">
        <f t="shared" si="1"/>
        <v>70.5</v>
      </c>
      <c r="F41" s="93">
        <f t="shared" si="0"/>
        <v>176.25</v>
      </c>
      <c r="G41" s="93" t="s">
        <v>120</v>
      </c>
      <c r="H41" s="20"/>
      <c r="I41" s="20"/>
      <c r="J41" s="96" t="s">
        <v>156</v>
      </c>
      <c r="K41" s="44"/>
      <c r="L41" s="44">
        <f t="shared" si="2"/>
        <v>1018.5749999999999</v>
      </c>
      <c r="M41" s="44">
        <f t="shared" si="8"/>
        <v>1018.5749999999999</v>
      </c>
      <c r="N41" s="44" t="str">
        <f t="shared" si="6"/>
        <v>Cr</v>
      </c>
      <c r="O41" s="44">
        <f t="shared" si="5"/>
        <v>14.5</v>
      </c>
      <c r="P41" s="44"/>
    </row>
    <row r="42" spans="1:16">
      <c r="A42" s="96" t="s">
        <v>157</v>
      </c>
      <c r="B42" s="93">
        <v>5.5</v>
      </c>
      <c r="C42" s="93">
        <v>6.2</v>
      </c>
      <c r="D42" s="93">
        <v>2.5</v>
      </c>
      <c r="E42" s="24">
        <f t="shared" si="1"/>
        <v>60.55</v>
      </c>
      <c r="F42" s="93">
        <f t="shared" si="0"/>
        <v>151.375</v>
      </c>
      <c r="G42" s="93" t="s">
        <v>120</v>
      </c>
      <c r="H42" s="20"/>
      <c r="I42" s="20"/>
      <c r="J42" s="96" t="s">
        <v>157</v>
      </c>
      <c r="K42" s="44"/>
      <c r="L42" s="44">
        <f t="shared" si="2"/>
        <v>1169.9499999999998</v>
      </c>
      <c r="M42" s="44">
        <f t="shared" si="8"/>
        <v>1169.9499999999998</v>
      </c>
      <c r="N42" s="44" t="str">
        <f t="shared" si="6"/>
        <v>Cr</v>
      </c>
      <c r="O42" s="44">
        <f t="shared" si="5"/>
        <v>17</v>
      </c>
      <c r="P42" s="44"/>
    </row>
    <row r="43" spans="1:16">
      <c r="A43" s="96" t="s">
        <v>158</v>
      </c>
      <c r="B43" s="93">
        <v>6.4</v>
      </c>
      <c r="C43" s="93">
        <v>8.4</v>
      </c>
      <c r="D43" s="93">
        <v>2.1</v>
      </c>
      <c r="E43" s="93">
        <f t="shared" si="1"/>
        <v>75.2</v>
      </c>
      <c r="F43" s="93">
        <f t="shared" si="0"/>
        <v>157.92000000000002</v>
      </c>
      <c r="G43" s="93" t="s">
        <v>120</v>
      </c>
      <c r="H43" s="20"/>
      <c r="I43" s="20"/>
      <c r="J43" s="96" t="s">
        <v>158</v>
      </c>
      <c r="K43" s="71"/>
      <c r="L43" s="44">
        <f t="shared" si="2"/>
        <v>1327.87</v>
      </c>
      <c r="M43" s="44">
        <f t="shared" si="8"/>
        <v>1327.87</v>
      </c>
      <c r="N43" s="44" t="str">
        <f t="shared" si="6"/>
        <v>Cr</v>
      </c>
      <c r="O43" s="44">
        <f t="shared" si="5"/>
        <v>19.100000000000001</v>
      </c>
      <c r="P43" s="71"/>
    </row>
    <row r="44" spans="1:16">
      <c r="A44" s="96" t="s">
        <v>159</v>
      </c>
      <c r="B44" s="93">
        <v>6</v>
      </c>
      <c r="C44" s="93">
        <v>9.1999999999999993</v>
      </c>
      <c r="D44" s="93">
        <v>2.6</v>
      </c>
      <c r="E44" s="93">
        <f t="shared" si="1"/>
        <v>75.8</v>
      </c>
      <c r="F44" s="93">
        <f t="shared" si="0"/>
        <v>197.08</v>
      </c>
      <c r="G44" s="93"/>
      <c r="H44" s="20"/>
      <c r="I44" s="20"/>
      <c r="J44" s="96" t="s">
        <v>159</v>
      </c>
      <c r="K44" s="44"/>
      <c r="L44" s="44">
        <f t="shared" si="2"/>
        <v>1524.9499999999998</v>
      </c>
      <c r="M44" s="44">
        <f t="shared" si="8"/>
        <v>1524.9499999999998</v>
      </c>
      <c r="N44" s="44"/>
      <c r="O44" s="44">
        <f t="shared" si="5"/>
        <v>21.700000000000003</v>
      </c>
      <c r="P44" s="44"/>
    </row>
    <row r="45" spans="1:16">
      <c r="A45" s="96" t="s">
        <v>160</v>
      </c>
      <c r="B45" s="99">
        <v>5.4</v>
      </c>
      <c r="C45" s="99">
        <v>6.9</v>
      </c>
      <c r="D45" s="99">
        <v>2.5</v>
      </c>
      <c r="E45" s="93">
        <f t="shared" si="1"/>
        <v>62.7</v>
      </c>
      <c r="F45" s="93">
        <f t="shared" si="0"/>
        <v>156.75</v>
      </c>
      <c r="G45" s="99"/>
      <c r="H45" s="20"/>
      <c r="I45" s="20"/>
      <c r="J45" s="96" t="s">
        <v>160</v>
      </c>
      <c r="K45" s="86"/>
      <c r="L45" s="44">
        <f t="shared" si="2"/>
        <v>1681.6999999999998</v>
      </c>
      <c r="M45" s="44">
        <f t="shared" si="8"/>
        <v>1681.6999999999998</v>
      </c>
      <c r="N45" s="86"/>
      <c r="O45" s="44">
        <f t="shared" si="5"/>
        <v>24.200000000000003</v>
      </c>
      <c r="P45" s="86"/>
    </row>
    <row r="46" spans="1:16">
      <c r="A46" s="96" t="s">
        <v>161</v>
      </c>
      <c r="B46" s="44">
        <v>6.2</v>
      </c>
      <c r="C46" s="44">
        <v>7.6</v>
      </c>
      <c r="D46" s="44">
        <v>2.5</v>
      </c>
      <c r="E46" s="93">
        <f t="shared" si="1"/>
        <v>70.7</v>
      </c>
      <c r="F46" s="93">
        <f t="shared" si="0"/>
        <v>176.75</v>
      </c>
      <c r="G46" s="44"/>
      <c r="J46" s="96" t="s">
        <v>161</v>
      </c>
      <c r="K46" s="44"/>
      <c r="L46" s="44">
        <f t="shared" si="2"/>
        <v>1858.4499999999998</v>
      </c>
      <c r="M46" s="44">
        <f t="shared" si="8"/>
        <v>1858.4499999999998</v>
      </c>
      <c r="N46" s="44"/>
      <c r="O46" s="44">
        <f t="shared" si="5"/>
        <v>26.700000000000003</v>
      </c>
      <c r="P46" s="44"/>
    </row>
    <row r="47" spans="1:16">
      <c r="A47" s="96" t="s">
        <v>162</v>
      </c>
      <c r="B47" s="44">
        <v>4.8</v>
      </c>
      <c r="C47" s="44">
        <v>7</v>
      </c>
      <c r="D47" s="44">
        <v>2</v>
      </c>
      <c r="E47" s="93">
        <f t="shared" si="1"/>
        <v>59.2</v>
      </c>
      <c r="F47" s="93">
        <f t="shared" si="0"/>
        <v>118.4</v>
      </c>
      <c r="G47" s="44"/>
      <c r="J47" s="96" t="s">
        <v>162</v>
      </c>
      <c r="K47" s="44"/>
      <c r="L47" s="44">
        <f t="shared" si="2"/>
        <v>1976.85</v>
      </c>
      <c r="M47" s="44">
        <f t="shared" si="8"/>
        <v>1976.85</v>
      </c>
      <c r="N47" s="44"/>
      <c r="O47" s="44">
        <f t="shared" si="5"/>
        <v>28.700000000000003</v>
      </c>
      <c r="P47" s="44"/>
    </row>
    <row r="48" spans="1:16">
      <c r="A48" s="96" t="s">
        <v>163</v>
      </c>
      <c r="B48" s="44">
        <v>5.4</v>
      </c>
      <c r="C48" s="44">
        <v>8.6999999999999993</v>
      </c>
      <c r="D48" s="44">
        <v>2.7</v>
      </c>
      <c r="E48" s="93">
        <f t="shared" si="1"/>
        <v>69.900000000000006</v>
      </c>
      <c r="F48" s="93">
        <f t="shared" si="0"/>
        <v>188.73000000000002</v>
      </c>
      <c r="G48" s="44"/>
      <c r="J48" s="96" t="s">
        <v>163</v>
      </c>
      <c r="K48" s="44"/>
      <c r="L48" s="44">
        <f t="shared" si="2"/>
        <v>2165.58</v>
      </c>
      <c r="M48" s="44">
        <f t="shared" si="8"/>
        <v>2165.58</v>
      </c>
      <c r="N48" s="44"/>
      <c r="O48" s="44">
        <f t="shared" si="5"/>
        <v>31.400000000000002</v>
      </c>
      <c r="P48" s="44"/>
    </row>
    <row r="49" spans="1:16">
      <c r="A49" s="66" t="s">
        <v>164</v>
      </c>
      <c r="B49" s="159"/>
      <c r="C49" s="159"/>
      <c r="D49" s="159"/>
      <c r="E49" s="68">
        <f t="shared" si="1"/>
        <v>0</v>
      </c>
      <c r="F49" s="68">
        <f t="shared" si="0"/>
        <v>0</v>
      </c>
      <c r="G49" s="159" t="s">
        <v>155</v>
      </c>
      <c r="J49" s="96" t="s">
        <v>164</v>
      </c>
      <c r="K49" s="44"/>
      <c r="L49" s="44">
        <f t="shared" si="2"/>
        <v>2165.58</v>
      </c>
      <c r="M49" s="44">
        <f t="shared" si="8"/>
        <v>2165.58</v>
      </c>
      <c r="N49" s="44"/>
      <c r="O49" s="44">
        <f t="shared" si="5"/>
        <v>31.400000000000002</v>
      </c>
      <c r="P49" s="44"/>
    </row>
    <row r="50" spans="1:16">
      <c r="A50" s="96" t="s">
        <v>165</v>
      </c>
      <c r="B50" s="44">
        <v>5.3</v>
      </c>
      <c r="C50" s="44">
        <v>7</v>
      </c>
      <c r="D50" s="44">
        <v>2</v>
      </c>
      <c r="E50" s="93">
        <f t="shared" si="1"/>
        <v>62.449999999999996</v>
      </c>
      <c r="F50" s="93">
        <f t="shared" si="0"/>
        <v>124.89999999999999</v>
      </c>
      <c r="G50" s="44"/>
      <c r="J50" s="96" t="s">
        <v>165</v>
      </c>
      <c r="K50" s="44"/>
      <c r="L50" s="44">
        <f t="shared" si="2"/>
        <v>2290.48</v>
      </c>
      <c r="M50" s="44">
        <f t="shared" si="8"/>
        <v>2290.48</v>
      </c>
      <c r="N50" s="44"/>
      <c r="O50" s="44">
        <f t="shared" si="5"/>
        <v>33.400000000000006</v>
      </c>
      <c r="P50" s="44"/>
    </row>
    <row r="51" spans="1:16">
      <c r="A51" s="96" t="s">
        <v>166</v>
      </c>
      <c r="B51" s="44">
        <v>5</v>
      </c>
      <c r="C51" s="44">
        <v>5.9</v>
      </c>
      <c r="D51" s="44">
        <v>2.2999999999999998</v>
      </c>
      <c r="E51" s="93">
        <f t="shared" si="1"/>
        <v>56.1</v>
      </c>
      <c r="F51" s="93">
        <f t="shared" si="0"/>
        <v>129.03</v>
      </c>
      <c r="G51" s="44"/>
      <c r="J51" s="96" t="s">
        <v>166</v>
      </c>
      <c r="K51" s="44"/>
      <c r="L51" s="44">
        <f t="shared" si="2"/>
        <v>2419.5100000000002</v>
      </c>
      <c r="M51" s="44">
        <f t="shared" si="8"/>
        <v>2419.5100000000002</v>
      </c>
      <c r="N51" s="44"/>
      <c r="O51" s="44">
        <f t="shared" si="5"/>
        <v>35.700000000000003</v>
      </c>
      <c r="P51" s="44"/>
    </row>
    <row r="52" spans="1:16">
      <c r="A52" s="183" t="s">
        <v>167</v>
      </c>
      <c r="B52" s="166"/>
      <c r="C52" s="166"/>
      <c r="D52" s="166"/>
      <c r="E52" s="156">
        <f t="shared" si="1"/>
        <v>0</v>
      </c>
      <c r="F52" s="156">
        <f t="shared" si="0"/>
        <v>0</v>
      </c>
      <c r="G52" s="166" t="s">
        <v>155</v>
      </c>
      <c r="J52" s="98" t="s">
        <v>167</v>
      </c>
      <c r="K52" s="86"/>
      <c r="L52" s="44">
        <f t="shared" si="2"/>
        <v>2419.5100000000002</v>
      </c>
      <c r="M52" s="44">
        <f t="shared" si="8"/>
        <v>2419.5100000000002</v>
      </c>
      <c r="N52" s="86"/>
      <c r="O52" s="44">
        <f t="shared" si="5"/>
        <v>35.700000000000003</v>
      </c>
      <c r="P52" s="86"/>
    </row>
    <row r="53" spans="1:16">
      <c r="A53" s="181" t="s">
        <v>168</v>
      </c>
      <c r="B53" s="87">
        <v>4.7</v>
      </c>
      <c r="C53" s="87">
        <v>5.9</v>
      </c>
      <c r="D53" s="87">
        <v>2</v>
      </c>
      <c r="E53" s="153">
        <f t="shared" si="1"/>
        <v>54.150000000000006</v>
      </c>
      <c r="F53" s="153">
        <f t="shared" si="0"/>
        <v>108.30000000000001</v>
      </c>
      <c r="G53" s="87"/>
      <c r="J53" s="181" t="s">
        <v>168</v>
      </c>
      <c r="K53" s="87">
        <v>2500</v>
      </c>
      <c r="L53" s="44">
        <f t="shared" si="2"/>
        <v>2527.8100000000004</v>
      </c>
      <c r="M53" s="44">
        <f t="shared" si="8"/>
        <v>27.8100000000004</v>
      </c>
      <c r="N53" s="87"/>
      <c r="O53" s="44">
        <f t="shared" si="5"/>
        <v>37.700000000000003</v>
      </c>
      <c r="P53" s="87"/>
    </row>
    <row r="54" spans="1:16">
      <c r="A54" s="184"/>
      <c r="B54" s="20"/>
      <c r="C54" s="20"/>
      <c r="D54" s="20"/>
      <c r="E54" s="164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184"/>
      <c r="B55" s="20"/>
      <c r="C55" s="20"/>
      <c r="D55" s="20"/>
      <c r="E55" s="164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16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39" display="Bas32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Normal="100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252</v>
      </c>
      <c r="B3" s="51"/>
      <c r="C3" s="51"/>
      <c r="F3" s="52" t="s">
        <v>106</v>
      </c>
      <c r="G3" s="53" t="s">
        <v>251</v>
      </c>
      <c r="H3" s="54"/>
    </row>
    <row r="5" spans="1:22">
      <c r="A5" s="50" t="s">
        <v>199</v>
      </c>
      <c r="B5" s="51"/>
      <c r="C5" s="51"/>
      <c r="D5" s="51"/>
      <c r="E5" s="51"/>
      <c r="F5" s="182" t="s">
        <v>18</v>
      </c>
      <c r="G5" s="175" t="s">
        <v>89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/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261.87</v>
      </c>
      <c r="S8" s="44">
        <f>SUM(K8:K46)</f>
        <v>0</v>
      </c>
      <c r="T8" s="44">
        <f>(R8-S8)</f>
        <v>261.87</v>
      </c>
      <c r="U8" s="44">
        <f>SUM(D8:D45)</f>
        <v>0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/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/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/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/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/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/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/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/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/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/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/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/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/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/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/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/>
      <c r="H24" s="20"/>
      <c r="I24" s="20"/>
      <c r="J24" s="73" t="s">
        <v>138</v>
      </c>
      <c r="K24" s="78"/>
      <c r="L24" s="78"/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/>
      <c r="H25" s="20"/>
      <c r="I25" s="20"/>
      <c r="J25" s="96" t="s">
        <v>139</v>
      </c>
      <c r="K25" s="44"/>
      <c r="L25" s="44"/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/>
      <c r="H26" s="20"/>
      <c r="I26" s="20"/>
      <c r="J26" s="96" t="s">
        <v>140</v>
      </c>
      <c r="K26" s="44"/>
      <c r="L26" s="44"/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/>
      <c r="H27" s="20"/>
      <c r="I27" s="20"/>
      <c r="J27" s="96" t="s">
        <v>141</v>
      </c>
      <c r="K27" s="44"/>
      <c r="L27" s="44"/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/>
      <c r="H28" s="20"/>
      <c r="I28" s="20"/>
      <c r="J28" s="96" t="s">
        <v>142</v>
      </c>
      <c r="K28" s="44"/>
      <c r="L28" s="44"/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/>
      <c r="H29" s="20"/>
      <c r="I29" s="20"/>
      <c r="J29" s="96" t="s">
        <v>143</v>
      </c>
      <c r="K29" s="44"/>
      <c r="L29" s="44"/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/>
      <c r="H30" s="20"/>
      <c r="I30" s="20"/>
      <c r="J30" s="96" t="s">
        <v>144</v>
      </c>
      <c r="K30" s="44"/>
      <c r="L30" s="44"/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/>
      <c r="H31" s="20"/>
      <c r="I31" s="20"/>
      <c r="J31" s="96" t="s">
        <v>145</v>
      </c>
      <c r="K31" s="44"/>
      <c r="L31" s="44"/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/>
      <c r="H32" s="20"/>
      <c r="I32" s="20"/>
      <c r="J32" s="96" t="s">
        <v>146</v>
      </c>
      <c r="K32" s="44"/>
      <c r="L32" s="44"/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/>
      <c r="H33" s="20"/>
      <c r="I33" s="20"/>
      <c r="J33" s="96" t="s">
        <v>147</v>
      </c>
      <c r="K33" s="44"/>
      <c r="L33" s="44"/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/>
      <c r="H34" s="20"/>
      <c r="I34" s="20"/>
      <c r="J34" s="96" t="s">
        <v>148</v>
      </c>
      <c r="K34" s="44"/>
      <c r="L34" s="44"/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/>
      <c r="H35" s="20"/>
      <c r="I35" s="20"/>
      <c r="J35" s="96" t="s">
        <v>149</v>
      </c>
      <c r="K35" s="44"/>
      <c r="L35" s="44"/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/>
      <c r="H36" s="20"/>
      <c r="I36" s="20"/>
      <c r="J36" s="96" t="s">
        <v>150</v>
      </c>
      <c r="K36" s="44"/>
      <c r="L36" s="44"/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/>
      <c r="H37" s="20"/>
      <c r="I37" s="20"/>
      <c r="J37" s="96" t="s">
        <v>151</v>
      </c>
      <c r="K37" s="44"/>
      <c r="L37" s="44"/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/>
      <c r="H38" s="20"/>
      <c r="I38" s="20"/>
      <c r="J38" s="96" t="s">
        <v>152</v>
      </c>
      <c r="K38" s="44"/>
      <c r="L38" s="44"/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66" t="s">
        <v>153</v>
      </c>
      <c r="B39" s="68"/>
      <c r="C39" s="68"/>
      <c r="D39" s="68"/>
      <c r="E39" s="68">
        <f t="shared" si="1"/>
        <v>0</v>
      </c>
      <c r="F39" s="68">
        <f t="shared" si="0"/>
        <v>0</v>
      </c>
      <c r="G39" s="68"/>
      <c r="H39" s="20"/>
      <c r="I39" s="20"/>
      <c r="J39" s="96" t="s">
        <v>153</v>
      </c>
      <c r="K39" s="44"/>
      <c r="L39" s="44"/>
      <c r="M39" s="44">
        <f t="shared" si="8"/>
        <v>0</v>
      </c>
      <c r="N39" s="44" t="str">
        <f t="shared" si="6"/>
        <v>Cr</v>
      </c>
      <c r="O39" s="44">
        <f t="shared" si="5"/>
        <v>0</v>
      </c>
      <c r="P39" s="44"/>
    </row>
    <row r="40" spans="1:16">
      <c r="A40" s="96" t="s">
        <v>154</v>
      </c>
      <c r="B40" s="93"/>
      <c r="C40" s="93"/>
      <c r="D40" s="93"/>
      <c r="E40" s="93">
        <f t="shared" si="1"/>
        <v>0</v>
      </c>
      <c r="F40" s="93">
        <f t="shared" si="0"/>
        <v>0</v>
      </c>
      <c r="G40" s="93"/>
      <c r="H40" s="20"/>
      <c r="I40" s="20"/>
      <c r="J40" s="96" t="s">
        <v>154</v>
      </c>
      <c r="K40" s="155"/>
      <c r="L40" s="44"/>
      <c r="M40" s="44">
        <f t="shared" si="8"/>
        <v>0</v>
      </c>
      <c r="N40" s="44" t="str">
        <f t="shared" si="6"/>
        <v>Cr</v>
      </c>
      <c r="O40" s="44">
        <f t="shared" si="5"/>
        <v>0</v>
      </c>
      <c r="P40" s="44"/>
    </row>
    <row r="41" spans="1:16">
      <c r="A41" s="96" t="s">
        <v>156</v>
      </c>
      <c r="B41" s="93"/>
      <c r="C41" s="93"/>
      <c r="D41" s="93"/>
      <c r="E41" s="93">
        <f t="shared" si="1"/>
        <v>0</v>
      </c>
      <c r="F41" s="93">
        <f t="shared" si="0"/>
        <v>0</v>
      </c>
      <c r="G41" s="93"/>
      <c r="H41" s="20"/>
      <c r="I41" s="20"/>
      <c r="J41" s="96" t="s">
        <v>156</v>
      </c>
      <c r="K41" s="44"/>
      <c r="L41" s="161"/>
      <c r="M41" s="44">
        <f t="shared" si="8"/>
        <v>0</v>
      </c>
      <c r="N41" s="44" t="str">
        <f t="shared" si="6"/>
        <v>Cr</v>
      </c>
      <c r="O41" s="44">
        <f t="shared" si="5"/>
        <v>0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/>
      <c r="H42" s="20"/>
      <c r="I42" s="20"/>
      <c r="J42" s="96" t="s">
        <v>157</v>
      </c>
      <c r="K42" s="44"/>
      <c r="L42" s="44"/>
      <c r="M42" s="44">
        <f t="shared" si="8"/>
        <v>0</v>
      </c>
      <c r="N42" s="44" t="str">
        <f t="shared" si="6"/>
        <v>Cr</v>
      </c>
      <c r="O42" s="44">
        <f t="shared" si="5"/>
        <v>0</v>
      </c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/>
      <c r="H43" s="20"/>
      <c r="I43" s="20"/>
      <c r="J43" s="96" t="s">
        <v>158</v>
      </c>
      <c r="K43" s="71"/>
      <c r="L43" s="71"/>
      <c r="M43" s="44">
        <f t="shared" si="8"/>
        <v>0</v>
      </c>
      <c r="N43" s="44" t="str">
        <f t="shared" si="6"/>
        <v>Cr</v>
      </c>
      <c r="O43" s="44">
        <f t="shared" si="5"/>
        <v>0</v>
      </c>
      <c r="P43" s="71"/>
    </row>
    <row r="44" spans="1:16">
      <c r="A44" s="96" t="s">
        <v>159</v>
      </c>
      <c r="B44" s="93"/>
      <c r="C44" s="93"/>
      <c r="D44" s="93"/>
      <c r="E44" s="93">
        <f t="shared" si="1"/>
        <v>0</v>
      </c>
      <c r="F44" s="93">
        <f t="shared" si="0"/>
        <v>0</v>
      </c>
      <c r="G44" s="93"/>
      <c r="H44" s="20"/>
      <c r="I44" s="20"/>
      <c r="J44" s="96" t="s">
        <v>159</v>
      </c>
      <c r="K44" s="44"/>
      <c r="L44" s="44"/>
      <c r="M44" s="44">
        <f t="shared" si="8"/>
        <v>0</v>
      </c>
      <c r="N44" s="44"/>
      <c r="O44" s="44"/>
      <c r="P44" s="44"/>
    </row>
    <row r="45" spans="1:16">
      <c r="A45" s="96" t="s">
        <v>160</v>
      </c>
      <c r="B45" s="99"/>
      <c r="C45" s="99"/>
      <c r="D45" s="99"/>
      <c r="E45" s="93">
        <f t="shared" si="1"/>
        <v>0</v>
      </c>
      <c r="F45" s="93">
        <f t="shared" si="0"/>
        <v>0</v>
      </c>
      <c r="G45" s="99"/>
      <c r="H45" s="20"/>
      <c r="I45" s="20"/>
      <c r="J45" s="96" t="s">
        <v>160</v>
      </c>
      <c r="K45" s="86"/>
      <c r="L45" s="86"/>
      <c r="M45" s="44">
        <f t="shared" si="8"/>
        <v>0</v>
      </c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93">
        <f t="shared" si="1"/>
        <v>0</v>
      </c>
      <c r="F46" s="93">
        <f t="shared" si="0"/>
        <v>0</v>
      </c>
      <c r="G46" s="44"/>
      <c r="J46" s="96" t="s">
        <v>161</v>
      </c>
      <c r="K46" s="44"/>
      <c r="L46" s="44"/>
      <c r="M46" s="44">
        <f t="shared" si="8"/>
        <v>0</v>
      </c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93">
        <f t="shared" si="1"/>
        <v>0</v>
      </c>
      <c r="F47" s="93">
        <f t="shared" si="0"/>
        <v>0</v>
      </c>
      <c r="G47" s="44"/>
      <c r="J47" s="96" t="s">
        <v>162</v>
      </c>
      <c r="K47" s="44"/>
      <c r="L47" s="44"/>
      <c r="M47" s="44">
        <f t="shared" si="8"/>
        <v>0</v>
      </c>
      <c r="N47" s="44"/>
      <c r="O47" s="44"/>
      <c r="P47" s="44"/>
    </row>
    <row r="48" spans="1:16">
      <c r="A48" s="96" t="s">
        <v>163</v>
      </c>
      <c r="B48" s="44"/>
      <c r="C48" s="44"/>
      <c r="D48" s="44"/>
      <c r="E48" s="93">
        <f t="shared" si="1"/>
        <v>0</v>
      </c>
      <c r="F48" s="93">
        <f t="shared" si="0"/>
        <v>0</v>
      </c>
      <c r="G48" s="44"/>
      <c r="J48" s="96" t="s">
        <v>163</v>
      </c>
      <c r="K48" s="44"/>
      <c r="L48" s="44"/>
      <c r="M48" s="44">
        <f t="shared" si="8"/>
        <v>0</v>
      </c>
      <c r="N48" s="44"/>
      <c r="O48" s="44"/>
      <c r="P48" s="44"/>
    </row>
    <row r="49" spans="1:16">
      <c r="A49" s="66" t="s">
        <v>164</v>
      </c>
      <c r="B49" s="159"/>
      <c r="C49" s="159"/>
      <c r="D49" s="159"/>
      <c r="E49" s="68">
        <f t="shared" si="1"/>
        <v>0</v>
      </c>
      <c r="F49" s="68">
        <f t="shared" si="0"/>
        <v>0</v>
      </c>
      <c r="G49" s="159"/>
      <c r="J49" s="96" t="s">
        <v>164</v>
      </c>
      <c r="K49" s="44"/>
      <c r="L49" s="44"/>
      <c r="M49" s="44">
        <f t="shared" si="8"/>
        <v>0</v>
      </c>
      <c r="N49" s="44"/>
      <c r="O49" s="44"/>
      <c r="P49" s="44"/>
    </row>
    <row r="50" spans="1:16">
      <c r="A50" s="96" t="s">
        <v>165</v>
      </c>
      <c r="B50" s="44"/>
      <c r="C50" s="44"/>
      <c r="D50" s="44"/>
      <c r="E50" s="93">
        <f t="shared" si="1"/>
        <v>0</v>
      </c>
      <c r="F50" s="93">
        <f t="shared" si="0"/>
        <v>0</v>
      </c>
      <c r="G50" s="44"/>
      <c r="J50" s="96" t="s">
        <v>165</v>
      </c>
      <c r="K50" s="44"/>
      <c r="L50" s="44"/>
      <c r="M50" s="44">
        <f t="shared" si="8"/>
        <v>0</v>
      </c>
      <c r="N50" s="44"/>
      <c r="O50" s="44"/>
      <c r="P50" s="44"/>
    </row>
    <row r="51" spans="1:16">
      <c r="A51" s="96" t="s">
        <v>166</v>
      </c>
      <c r="B51" s="44"/>
      <c r="C51" s="44"/>
      <c r="D51" s="44"/>
      <c r="E51" s="93">
        <f t="shared" si="1"/>
        <v>0</v>
      </c>
      <c r="F51" s="93">
        <f t="shared" si="0"/>
        <v>0</v>
      </c>
      <c r="G51" s="44"/>
      <c r="J51" s="96" t="s">
        <v>166</v>
      </c>
      <c r="K51" s="44"/>
      <c r="L51" s="44"/>
      <c r="M51" s="44">
        <f t="shared" si="8"/>
        <v>0</v>
      </c>
      <c r="N51" s="44"/>
      <c r="O51" s="44"/>
      <c r="P51" s="44"/>
    </row>
    <row r="52" spans="1:16">
      <c r="A52" s="98" t="s">
        <v>167</v>
      </c>
      <c r="B52" s="185">
        <v>5.3</v>
      </c>
      <c r="C52" s="185">
        <v>9.1999999999999993</v>
      </c>
      <c r="D52" s="185">
        <v>2.1</v>
      </c>
      <c r="E52" s="99">
        <f t="shared" si="1"/>
        <v>71.25</v>
      </c>
      <c r="F52" s="99">
        <f t="shared" si="0"/>
        <v>149.625</v>
      </c>
      <c r="G52" s="185"/>
      <c r="J52" s="98" t="s">
        <v>167</v>
      </c>
      <c r="K52" s="86"/>
      <c r="L52" s="86"/>
      <c r="M52" s="44">
        <f t="shared" si="8"/>
        <v>149.625</v>
      </c>
      <c r="N52" s="86"/>
      <c r="O52" s="86"/>
      <c r="P52" s="86"/>
    </row>
    <row r="53" spans="1:16">
      <c r="A53" s="181" t="s">
        <v>168</v>
      </c>
      <c r="B53" s="87">
        <v>4.0999999999999996</v>
      </c>
      <c r="C53" s="87">
        <v>6.7</v>
      </c>
      <c r="D53" s="87">
        <v>2.1</v>
      </c>
      <c r="E53" s="153">
        <f t="shared" si="1"/>
        <v>53.45</v>
      </c>
      <c r="F53" s="153">
        <f t="shared" si="0"/>
        <v>112.245</v>
      </c>
      <c r="G53" s="87"/>
      <c r="J53" s="181" t="s">
        <v>168</v>
      </c>
      <c r="K53" s="87">
        <v>1000</v>
      </c>
      <c r="L53" s="87"/>
      <c r="M53" s="44">
        <f t="shared" si="8"/>
        <v>-738.13</v>
      </c>
      <c r="N53" s="87"/>
      <c r="O53" s="87"/>
      <c r="P53" s="87"/>
    </row>
    <row r="54" spans="1:16">
      <c r="A54" s="184"/>
      <c r="B54" s="20"/>
      <c r="C54" s="20"/>
      <c r="D54" s="20"/>
      <c r="E54" s="164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184"/>
      <c r="B55" s="20"/>
      <c r="C55" s="20"/>
      <c r="D55" s="20"/>
      <c r="E55" s="164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16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40" display="Bas33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topLeftCell="B1" zoomScaleNormal="100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253</v>
      </c>
      <c r="B3" s="51"/>
      <c r="C3" s="51"/>
      <c r="F3" s="52" t="s">
        <v>106</v>
      </c>
      <c r="G3" s="53">
        <v>9812234610</v>
      </c>
      <c r="H3" s="54"/>
    </row>
    <row r="5" spans="1:22">
      <c r="A5" s="50" t="s">
        <v>199</v>
      </c>
      <c r="B5" s="51"/>
      <c r="C5" s="51"/>
      <c r="D5" s="51"/>
      <c r="E5" s="51"/>
      <c r="F5" s="182" t="s">
        <v>18</v>
      </c>
      <c r="G5" s="175" t="s">
        <v>91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/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652.125</v>
      </c>
      <c r="S8" s="44">
        <f>SUM(K8:K46)</f>
        <v>0</v>
      </c>
      <c r="T8" s="44">
        <f>(R8-S8)</f>
        <v>652.125</v>
      </c>
      <c r="U8" s="44">
        <f>SUM(D8:D45)</f>
        <v>0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/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/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/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/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/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/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/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/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/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/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/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/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/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/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/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/>
      <c r="H24" s="20"/>
      <c r="I24" s="20"/>
      <c r="J24" s="73" t="s">
        <v>138</v>
      </c>
      <c r="K24" s="78"/>
      <c r="L24" s="78"/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/>
      <c r="H25" s="20"/>
      <c r="I25" s="20"/>
      <c r="J25" s="96" t="s">
        <v>139</v>
      </c>
      <c r="K25" s="44"/>
      <c r="L25" s="44"/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/>
      <c r="H26" s="20"/>
      <c r="I26" s="20"/>
      <c r="J26" s="96" t="s">
        <v>140</v>
      </c>
      <c r="K26" s="44"/>
      <c r="L26" s="44"/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/>
      <c r="H27" s="20"/>
      <c r="I27" s="20"/>
      <c r="J27" s="96" t="s">
        <v>141</v>
      </c>
      <c r="K27" s="44"/>
      <c r="L27" s="44"/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/>
      <c r="H28" s="20"/>
      <c r="I28" s="20"/>
      <c r="J28" s="96" t="s">
        <v>142</v>
      </c>
      <c r="K28" s="44"/>
      <c r="L28" s="44"/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/>
      <c r="H29" s="20"/>
      <c r="I29" s="20"/>
      <c r="J29" s="96" t="s">
        <v>143</v>
      </c>
      <c r="K29" s="44"/>
      <c r="L29" s="44"/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/>
      <c r="H30" s="20"/>
      <c r="I30" s="20"/>
      <c r="J30" s="96" t="s">
        <v>144</v>
      </c>
      <c r="K30" s="44"/>
      <c r="L30" s="44"/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/>
      <c r="H31" s="20"/>
      <c r="I31" s="20"/>
      <c r="J31" s="96" t="s">
        <v>145</v>
      </c>
      <c r="K31" s="44"/>
      <c r="L31" s="44"/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/>
      <c r="H32" s="20"/>
      <c r="I32" s="20"/>
      <c r="J32" s="96" t="s">
        <v>146</v>
      </c>
      <c r="K32" s="44"/>
      <c r="L32" s="44"/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/>
      <c r="H33" s="20"/>
      <c r="I33" s="20"/>
      <c r="J33" s="96" t="s">
        <v>147</v>
      </c>
      <c r="K33" s="44"/>
      <c r="L33" s="44"/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/>
      <c r="H34" s="20"/>
      <c r="I34" s="20"/>
      <c r="J34" s="96" t="s">
        <v>148</v>
      </c>
      <c r="K34" s="44"/>
      <c r="L34" s="44"/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/>
      <c r="H35" s="20"/>
      <c r="I35" s="20"/>
      <c r="J35" s="96" t="s">
        <v>149</v>
      </c>
      <c r="K35" s="44"/>
      <c r="L35" s="44"/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/>
      <c r="H36" s="20"/>
      <c r="I36" s="20"/>
      <c r="J36" s="96" t="s">
        <v>150</v>
      </c>
      <c r="K36" s="44"/>
      <c r="L36" s="44"/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/>
      <c r="H37" s="20"/>
      <c r="I37" s="20"/>
      <c r="J37" s="96" t="s">
        <v>151</v>
      </c>
      <c r="K37" s="44"/>
      <c r="L37" s="44"/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/>
      <c r="H38" s="20"/>
      <c r="I38" s="20"/>
      <c r="J38" s="96" t="s">
        <v>152</v>
      </c>
      <c r="K38" s="44"/>
      <c r="L38" s="44"/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66" t="s">
        <v>153</v>
      </c>
      <c r="B39" s="68"/>
      <c r="C39" s="68"/>
      <c r="D39" s="68"/>
      <c r="E39" s="68">
        <f t="shared" si="1"/>
        <v>0</v>
      </c>
      <c r="F39" s="68">
        <f t="shared" si="0"/>
        <v>0</v>
      </c>
      <c r="G39" s="68"/>
      <c r="H39" s="20"/>
      <c r="I39" s="20"/>
      <c r="J39" s="96" t="s">
        <v>153</v>
      </c>
      <c r="K39" s="44"/>
      <c r="L39" s="44"/>
      <c r="M39" s="44">
        <f t="shared" si="8"/>
        <v>0</v>
      </c>
      <c r="N39" s="44" t="str">
        <f t="shared" si="6"/>
        <v>Cr</v>
      </c>
      <c r="O39" s="44">
        <f t="shared" si="5"/>
        <v>0</v>
      </c>
      <c r="P39" s="44"/>
    </row>
    <row r="40" spans="1:16">
      <c r="A40" s="96" t="s">
        <v>154</v>
      </c>
      <c r="B40" s="93"/>
      <c r="C40" s="93"/>
      <c r="D40" s="93"/>
      <c r="E40" s="93">
        <f t="shared" si="1"/>
        <v>0</v>
      </c>
      <c r="F40" s="93">
        <f t="shared" si="0"/>
        <v>0</v>
      </c>
      <c r="G40" s="93"/>
      <c r="H40" s="20"/>
      <c r="I40" s="20"/>
      <c r="J40" s="96" t="s">
        <v>154</v>
      </c>
      <c r="K40" s="155"/>
      <c r="L40" s="44"/>
      <c r="M40" s="44">
        <f t="shared" si="8"/>
        <v>0</v>
      </c>
      <c r="N40" s="44" t="str">
        <f t="shared" si="6"/>
        <v>Cr</v>
      </c>
      <c r="O40" s="44">
        <f t="shared" si="5"/>
        <v>0</v>
      </c>
      <c r="P40" s="44"/>
    </row>
    <row r="41" spans="1:16">
      <c r="A41" s="96" t="s">
        <v>156</v>
      </c>
      <c r="B41" s="93"/>
      <c r="C41" s="93"/>
      <c r="D41" s="93"/>
      <c r="E41" s="93">
        <f t="shared" si="1"/>
        <v>0</v>
      </c>
      <c r="F41" s="93">
        <f t="shared" si="0"/>
        <v>0</v>
      </c>
      <c r="G41" s="93"/>
      <c r="H41" s="20"/>
      <c r="I41" s="20"/>
      <c r="J41" s="96" t="s">
        <v>156</v>
      </c>
      <c r="K41" s="44"/>
      <c r="L41" s="161"/>
      <c r="M41" s="44">
        <f t="shared" si="8"/>
        <v>0</v>
      </c>
      <c r="N41" s="44" t="str">
        <f t="shared" si="6"/>
        <v>Cr</v>
      </c>
      <c r="O41" s="44">
        <f t="shared" si="5"/>
        <v>0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/>
      <c r="H42" s="20"/>
      <c r="I42" s="20"/>
      <c r="J42" s="96" t="s">
        <v>157</v>
      </c>
      <c r="K42" s="44"/>
      <c r="L42" s="44"/>
      <c r="M42" s="44">
        <f t="shared" si="8"/>
        <v>0</v>
      </c>
      <c r="N42" s="44" t="str">
        <f t="shared" si="6"/>
        <v>Cr</v>
      </c>
      <c r="O42" s="44">
        <f t="shared" si="5"/>
        <v>0</v>
      </c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/>
      <c r="H43" s="20"/>
      <c r="I43" s="20"/>
      <c r="J43" s="96" t="s">
        <v>158</v>
      </c>
      <c r="K43" s="71"/>
      <c r="L43" s="71"/>
      <c r="M43" s="44">
        <f t="shared" si="8"/>
        <v>0</v>
      </c>
      <c r="N43" s="44" t="str">
        <f t="shared" si="6"/>
        <v>Cr</v>
      </c>
      <c r="O43" s="44">
        <f t="shared" si="5"/>
        <v>0</v>
      </c>
      <c r="P43" s="71"/>
    </row>
    <row r="44" spans="1:16">
      <c r="A44" s="96" t="s">
        <v>159</v>
      </c>
      <c r="B44" s="93"/>
      <c r="C44" s="93"/>
      <c r="D44" s="93"/>
      <c r="E44" s="93">
        <f t="shared" si="1"/>
        <v>0</v>
      </c>
      <c r="F44" s="93">
        <f t="shared" si="0"/>
        <v>0</v>
      </c>
      <c r="G44" s="93"/>
      <c r="H44" s="20"/>
      <c r="I44" s="20"/>
      <c r="J44" s="96" t="s">
        <v>159</v>
      </c>
      <c r="K44" s="44"/>
      <c r="L44" s="44"/>
      <c r="M44" s="44">
        <f t="shared" si="8"/>
        <v>0</v>
      </c>
      <c r="N44" s="44"/>
      <c r="O44" s="44"/>
      <c r="P44" s="44"/>
    </row>
    <row r="45" spans="1:16">
      <c r="A45" s="96" t="s">
        <v>160</v>
      </c>
      <c r="B45" s="99"/>
      <c r="C45" s="99"/>
      <c r="D45" s="99"/>
      <c r="E45" s="93">
        <f t="shared" si="1"/>
        <v>0</v>
      </c>
      <c r="F45" s="93">
        <f t="shared" si="0"/>
        <v>0</v>
      </c>
      <c r="G45" s="99"/>
      <c r="H45" s="20"/>
      <c r="I45" s="20"/>
      <c r="J45" s="96" t="s">
        <v>160</v>
      </c>
      <c r="K45" s="86"/>
      <c r="L45" s="86"/>
      <c r="M45" s="44">
        <f t="shared" si="8"/>
        <v>0</v>
      </c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93">
        <f t="shared" si="1"/>
        <v>0</v>
      </c>
      <c r="F46" s="93">
        <f t="shared" si="0"/>
        <v>0</v>
      </c>
      <c r="G46" s="44"/>
      <c r="J46" s="96" t="s">
        <v>161</v>
      </c>
      <c r="K46" s="44"/>
      <c r="L46" s="44"/>
      <c r="M46" s="44">
        <f t="shared" si="8"/>
        <v>0</v>
      </c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93">
        <f t="shared" si="1"/>
        <v>0</v>
      </c>
      <c r="F47" s="93">
        <f t="shared" si="0"/>
        <v>0</v>
      </c>
      <c r="G47" s="44"/>
      <c r="J47" s="96" t="s">
        <v>162</v>
      </c>
      <c r="K47" s="44"/>
      <c r="L47" s="44"/>
      <c r="M47" s="44">
        <f t="shared" si="8"/>
        <v>0</v>
      </c>
      <c r="N47" s="44"/>
      <c r="O47" s="44"/>
      <c r="P47" s="44"/>
    </row>
    <row r="48" spans="1:16">
      <c r="A48" s="96" t="s">
        <v>163</v>
      </c>
      <c r="B48" s="44">
        <v>3.7</v>
      </c>
      <c r="C48" s="44">
        <v>8.3000000000000007</v>
      </c>
      <c r="D48" s="44">
        <v>1.5</v>
      </c>
      <c r="E48" s="93">
        <f t="shared" si="1"/>
        <v>57.25</v>
      </c>
      <c r="F48" s="93">
        <f t="shared" si="0"/>
        <v>85.875</v>
      </c>
      <c r="G48" s="44"/>
      <c r="J48" s="96" t="s">
        <v>163</v>
      </c>
      <c r="K48" s="44"/>
      <c r="L48" s="44"/>
      <c r="M48" s="44">
        <f t="shared" si="8"/>
        <v>85.875</v>
      </c>
      <c r="N48" s="44"/>
      <c r="O48" s="44"/>
      <c r="P48" s="44"/>
    </row>
    <row r="49" spans="1:16">
      <c r="A49" s="96" t="s">
        <v>164</v>
      </c>
      <c r="B49" s="71">
        <v>3.7</v>
      </c>
      <c r="C49" s="71">
        <v>8</v>
      </c>
      <c r="D49" s="71">
        <v>2</v>
      </c>
      <c r="E49" s="93">
        <f t="shared" si="1"/>
        <v>56.05</v>
      </c>
      <c r="F49" s="93">
        <f t="shared" si="0"/>
        <v>112.1</v>
      </c>
      <c r="G49" s="71"/>
      <c r="J49" s="96" t="s">
        <v>164</v>
      </c>
      <c r="K49" s="44"/>
      <c r="L49" s="44"/>
      <c r="M49" s="44">
        <f t="shared" si="8"/>
        <v>197.97499999999999</v>
      </c>
      <c r="N49" s="44"/>
      <c r="O49" s="44"/>
      <c r="P49" s="44"/>
    </row>
    <row r="50" spans="1:16">
      <c r="A50" s="96" t="s">
        <v>165</v>
      </c>
      <c r="B50" s="44">
        <v>3.9</v>
      </c>
      <c r="C50" s="44">
        <v>8.1999999999999993</v>
      </c>
      <c r="D50" s="44">
        <v>2</v>
      </c>
      <c r="E50" s="93">
        <f t="shared" si="1"/>
        <v>58.149999999999991</v>
      </c>
      <c r="F50" s="93">
        <f t="shared" si="0"/>
        <v>116.29999999999998</v>
      </c>
      <c r="G50" s="44"/>
      <c r="J50" s="96" t="s">
        <v>165</v>
      </c>
      <c r="K50" s="44"/>
      <c r="L50" s="44"/>
      <c r="M50" s="44">
        <f t="shared" si="8"/>
        <v>314.27499999999998</v>
      </c>
      <c r="N50" s="44"/>
      <c r="O50" s="44"/>
      <c r="P50" s="44"/>
    </row>
    <row r="51" spans="1:16">
      <c r="A51" s="96" t="s">
        <v>166</v>
      </c>
      <c r="B51" s="44">
        <v>3</v>
      </c>
      <c r="C51" s="44">
        <v>4.9000000000000004</v>
      </c>
      <c r="D51" s="44">
        <v>2</v>
      </c>
      <c r="E51" s="93">
        <f t="shared" si="1"/>
        <v>39.1</v>
      </c>
      <c r="F51" s="93">
        <f t="shared" si="0"/>
        <v>78.2</v>
      </c>
      <c r="G51" s="44"/>
      <c r="J51" s="96" t="s">
        <v>166</v>
      </c>
      <c r="K51" s="44"/>
      <c r="L51" s="44"/>
      <c r="M51" s="44">
        <f t="shared" si="8"/>
        <v>392.47499999999997</v>
      </c>
      <c r="N51" s="44"/>
      <c r="O51" s="44"/>
      <c r="P51" s="44"/>
    </row>
    <row r="52" spans="1:16">
      <c r="A52" s="98" t="s">
        <v>167</v>
      </c>
      <c r="B52" s="185">
        <v>3.2</v>
      </c>
      <c r="C52" s="185">
        <v>5</v>
      </c>
      <c r="D52" s="185">
        <v>3.8</v>
      </c>
      <c r="E52" s="99">
        <f t="shared" si="1"/>
        <v>40.799999999999997</v>
      </c>
      <c r="F52" s="99">
        <f t="shared" si="0"/>
        <v>155.04</v>
      </c>
      <c r="G52" s="185"/>
      <c r="J52" s="98" t="s">
        <v>167</v>
      </c>
      <c r="K52" s="86"/>
      <c r="L52" s="86"/>
      <c r="M52" s="44">
        <f t="shared" si="8"/>
        <v>547.51499999999999</v>
      </c>
      <c r="N52" s="86"/>
      <c r="O52" s="86"/>
      <c r="P52" s="86"/>
    </row>
    <row r="53" spans="1:16">
      <c r="A53" s="181" t="s">
        <v>168</v>
      </c>
      <c r="B53" s="87">
        <v>3.5</v>
      </c>
      <c r="C53" s="87">
        <v>6.2</v>
      </c>
      <c r="D53" s="87">
        <v>2.2000000000000002</v>
      </c>
      <c r="E53" s="153">
        <f t="shared" si="1"/>
        <v>47.55</v>
      </c>
      <c r="F53" s="153">
        <f t="shared" si="0"/>
        <v>104.61</v>
      </c>
      <c r="G53" s="87"/>
      <c r="J53" s="181" t="s">
        <v>168</v>
      </c>
      <c r="K53" s="87"/>
      <c r="L53" s="87"/>
      <c r="M53" s="44">
        <f t="shared" si="8"/>
        <v>652.125</v>
      </c>
      <c r="N53" s="87"/>
      <c r="O53" s="87"/>
      <c r="P53" s="87"/>
    </row>
    <row r="54" spans="1:16">
      <c r="A54" s="184"/>
      <c r="B54" s="20"/>
      <c r="C54" s="20"/>
      <c r="D54" s="20"/>
      <c r="E54" s="164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184"/>
      <c r="B55" s="20"/>
      <c r="C55" s="20"/>
      <c r="D55" s="20"/>
      <c r="E55" s="164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16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41" display="Bas34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topLeftCell="B1" zoomScaleNormal="100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254</v>
      </c>
      <c r="B3" s="51"/>
      <c r="C3" s="51"/>
      <c r="F3" s="52" t="s">
        <v>106</v>
      </c>
      <c r="G3" s="53" t="s">
        <v>251</v>
      </c>
      <c r="H3" s="54"/>
    </row>
    <row r="5" spans="1:22">
      <c r="A5" s="50" t="s">
        <v>199</v>
      </c>
      <c r="B5" s="51"/>
      <c r="C5" s="51"/>
      <c r="D5" s="51"/>
      <c r="E5" s="51"/>
      <c r="F5" s="182" t="s">
        <v>18</v>
      </c>
      <c r="G5" s="175" t="s">
        <v>93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/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578.07000000000005</v>
      </c>
      <c r="S8" s="44">
        <f>SUM(K8:K46)</f>
        <v>0</v>
      </c>
      <c r="T8" s="44">
        <f>(R8-S8)</f>
        <v>578.07000000000005</v>
      </c>
      <c r="U8" s="44">
        <f>SUM(D8:D45)</f>
        <v>8.1000000000000014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/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/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/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/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/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/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/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/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/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/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/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/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/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/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/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/>
      <c r="H24" s="20"/>
      <c r="I24" s="20"/>
      <c r="J24" s="73" t="s">
        <v>138</v>
      </c>
      <c r="K24" s="78"/>
      <c r="L24" s="78"/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/>
      <c r="H25" s="20"/>
      <c r="I25" s="20"/>
      <c r="J25" s="96" t="s">
        <v>139</v>
      </c>
      <c r="K25" s="44"/>
      <c r="L25" s="44"/>
      <c r="M25" s="44">
        <f>(M24+F25-K25)</f>
        <v>0</v>
      </c>
      <c r="N25" s="44" t="str">
        <f t="shared" ref="N25:N5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/>
      <c r="H26" s="20"/>
      <c r="I26" s="20"/>
      <c r="J26" s="96" t="s">
        <v>140</v>
      </c>
      <c r="K26" s="44"/>
      <c r="L26" s="44"/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/>
      <c r="H27" s="20"/>
      <c r="I27" s="20"/>
      <c r="J27" s="96" t="s">
        <v>141</v>
      </c>
      <c r="K27" s="44"/>
      <c r="L27" s="44"/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/>
      <c r="H28" s="20"/>
      <c r="I28" s="20"/>
      <c r="J28" s="96" t="s">
        <v>142</v>
      </c>
      <c r="K28" s="44"/>
      <c r="L28" s="44"/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/>
      <c r="H29" s="20"/>
      <c r="I29" s="20"/>
      <c r="J29" s="96" t="s">
        <v>143</v>
      </c>
      <c r="K29" s="44"/>
      <c r="L29" s="44"/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/>
      <c r="H30" s="20"/>
      <c r="I30" s="20"/>
      <c r="J30" s="96" t="s">
        <v>144</v>
      </c>
      <c r="K30" s="44"/>
      <c r="L30" s="44"/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/>
      <c r="H31" s="20"/>
      <c r="I31" s="20"/>
      <c r="J31" s="96" t="s">
        <v>145</v>
      </c>
      <c r="K31" s="44"/>
      <c r="L31" s="44"/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/>
      <c r="H32" s="20"/>
      <c r="I32" s="20"/>
      <c r="J32" s="96" t="s">
        <v>146</v>
      </c>
      <c r="K32" s="44"/>
      <c r="L32" s="44"/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/>
      <c r="H33" s="20"/>
      <c r="I33" s="20"/>
      <c r="J33" s="96" t="s">
        <v>147</v>
      </c>
      <c r="K33" s="44"/>
      <c r="L33" s="44"/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/>
      <c r="H34" s="20"/>
      <c r="I34" s="20"/>
      <c r="J34" s="96" t="s">
        <v>148</v>
      </c>
      <c r="K34" s="44"/>
      <c r="L34" s="44"/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/>
      <c r="H35" s="20"/>
      <c r="I35" s="20"/>
      <c r="J35" s="96" t="s">
        <v>149</v>
      </c>
      <c r="K35" s="44"/>
      <c r="L35" s="44"/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/>
      <c r="H36" s="20"/>
      <c r="I36" s="20"/>
      <c r="J36" s="96" t="s">
        <v>150</v>
      </c>
      <c r="K36" s="44"/>
      <c r="L36" s="44"/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/>
      <c r="H37" s="20"/>
      <c r="I37" s="20"/>
      <c r="J37" s="96" t="s">
        <v>151</v>
      </c>
      <c r="K37" s="44"/>
      <c r="L37" s="44"/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>
        <v>5.4</v>
      </c>
      <c r="C38" s="93">
        <v>9.1</v>
      </c>
      <c r="D38" s="93">
        <v>2.7</v>
      </c>
      <c r="E38" s="24">
        <f t="shared" si="1"/>
        <v>71.5</v>
      </c>
      <c r="F38" s="93">
        <f t="shared" si="0"/>
        <v>193.05</v>
      </c>
      <c r="G38" s="93"/>
      <c r="H38" s="20"/>
      <c r="I38" s="20"/>
      <c r="J38" s="96" t="s">
        <v>152</v>
      </c>
      <c r="K38" s="44"/>
      <c r="L38" s="44"/>
      <c r="M38" s="44">
        <f t="shared" si="8"/>
        <v>193.05</v>
      </c>
      <c r="N38" s="44" t="str">
        <f t="shared" si="6"/>
        <v>Cr</v>
      </c>
      <c r="O38" s="44">
        <f t="shared" si="5"/>
        <v>2.7</v>
      </c>
      <c r="P38" s="44"/>
    </row>
    <row r="39" spans="1:16">
      <c r="A39" s="96" t="s">
        <v>153</v>
      </c>
      <c r="B39" s="93">
        <v>5.4</v>
      </c>
      <c r="C39" s="93">
        <v>9.1</v>
      </c>
      <c r="D39" s="93">
        <v>2.7</v>
      </c>
      <c r="E39" s="93">
        <f t="shared" si="1"/>
        <v>71.5</v>
      </c>
      <c r="F39" s="93">
        <f t="shared" si="0"/>
        <v>193.05</v>
      </c>
      <c r="G39" s="93"/>
      <c r="H39" s="20"/>
      <c r="I39" s="20"/>
      <c r="J39" s="96" t="s">
        <v>153</v>
      </c>
      <c r="K39" s="44"/>
      <c r="L39" s="44"/>
      <c r="M39" s="44">
        <f t="shared" si="8"/>
        <v>386.1</v>
      </c>
      <c r="N39" s="44" t="str">
        <f t="shared" si="6"/>
        <v>Cr</v>
      </c>
      <c r="O39" s="44">
        <f t="shared" si="5"/>
        <v>5.4</v>
      </c>
      <c r="P39" s="44"/>
    </row>
    <row r="40" spans="1:16">
      <c r="A40" s="96" t="s">
        <v>154</v>
      </c>
      <c r="B40" s="93">
        <v>5.4</v>
      </c>
      <c r="C40" s="93">
        <v>9</v>
      </c>
      <c r="D40" s="93">
        <v>2.7</v>
      </c>
      <c r="E40" s="93">
        <f t="shared" si="1"/>
        <v>71.099999999999994</v>
      </c>
      <c r="F40" s="93">
        <f t="shared" si="0"/>
        <v>191.97</v>
      </c>
      <c r="G40" s="93"/>
      <c r="H40" s="20"/>
      <c r="I40" s="20"/>
      <c r="J40" s="96" t="s">
        <v>154</v>
      </c>
      <c r="K40" s="155"/>
      <c r="L40" s="44"/>
      <c r="M40" s="44">
        <f t="shared" si="8"/>
        <v>578.07000000000005</v>
      </c>
      <c r="N40" s="44" t="str">
        <f t="shared" si="6"/>
        <v>Cr</v>
      </c>
      <c r="O40" s="44">
        <f t="shared" si="5"/>
        <v>8.1000000000000014</v>
      </c>
      <c r="P40" s="44"/>
    </row>
    <row r="41" spans="1:16">
      <c r="A41" s="96" t="s">
        <v>156</v>
      </c>
      <c r="B41" s="93"/>
      <c r="C41" s="93"/>
      <c r="D41" s="93"/>
      <c r="E41" s="93">
        <f t="shared" si="1"/>
        <v>0</v>
      </c>
      <c r="F41" s="93">
        <f t="shared" si="0"/>
        <v>0</v>
      </c>
      <c r="G41" s="93"/>
      <c r="H41" s="20"/>
      <c r="I41" s="20"/>
      <c r="J41" s="96" t="s">
        <v>156</v>
      </c>
      <c r="K41" s="44"/>
      <c r="L41" s="161"/>
      <c r="M41" s="44">
        <f t="shared" si="8"/>
        <v>578.07000000000005</v>
      </c>
      <c r="N41" s="44" t="str">
        <f t="shared" si="6"/>
        <v>Cr</v>
      </c>
      <c r="O41" s="44">
        <f t="shared" si="5"/>
        <v>8.1000000000000014</v>
      </c>
      <c r="P41" s="44"/>
    </row>
    <row r="42" spans="1:16">
      <c r="A42" s="96" t="s">
        <v>157</v>
      </c>
      <c r="B42" s="93"/>
      <c r="C42" s="93"/>
      <c r="D42" s="93"/>
      <c r="E42" s="24">
        <f t="shared" si="1"/>
        <v>0</v>
      </c>
      <c r="F42" s="93">
        <f t="shared" si="0"/>
        <v>0</v>
      </c>
      <c r="G42" s="93"/>
      <c r="H42" s="20"/>
      <c r="I42" s="20"/>
      <c r="J42" s="96" t="s">
        <v>157</v>
      </c>
      <c r="K42" s="44"/>
      <c r="L42" s="44"/>
      <c r="M42" s="44">
        <f t="shared" si="8"/>
        <v>578.07000000000005</v>
      </c>
      <c r="N42" s="44" t="str">
        <f t="shared" si="6"/>
        <v>Cr</v>
      </c>
      <c r="O42" s="44">
        <f t="shared" si="5"/>
        <v>8.1000000000000014</v>
      </c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/>
      <c r="H43" s="20"/>
      <c r="I43" s="20"/>
      <c r="J43" s="96" t="s">
        <v>158</v>
      </c>
      <c r="K43" s="71"/>
      <c r="L43" s="71"/>
      <c r="M43" s="44">
        <f t="shared" si="8"/>
        <v>578.07000000000005</v>
      </c>
      <c r="N43" s="44" t="str">
        <f t="shared" si="6"/>
        <v>Cr</v>
      </c>
      <c r="O43" s="44">
        <f t="shared" si="5"/>
        <v>8.1000000000000014</v>
      </c>
      <c r="P43" s="71"/>
    </row>
    <row r="44" spans="1:16">
      <c r="A44" s="96" t="s">
        <v>159</v>
      </c>
      <c r="B44" s="93"/>
      <c r="C44" s="93"/>
      <c r="D44" s="93"/>
      <c r="E44" s="93">
        <f t="shared" si="1"/>
        <v>0</v>
      </c>
      <c r="F44" s="93">
        <f t="shared" si="0"/>
        <v>0</v>
      </c>
      <c r="G44" s="93"/>
      <c r="H44" s="20"/>
      <c r="I44" s="20"/>
      <c r="J44" s="96" t="s">
        <v>159</v>
      </c>
      <c r="K44" s="44"/>
      <c r="L44" s="44"/>
      <c r="M44" s="44">
        <f t="shared" si="8"/>
        <v>578.07000000000005</v>
      </c>
      <c r="N44" s="44" t="str">
        <f t="shared" si="6"/>
        <v>Cr</v>
      </c>
      <c r="O44" s="44"/>
      <c r="P44" s="44"/>
    </row>
    <row r="45" spans="1:16">
      <c r="A45" s="96" t="s">
        <v>160</v>
      </c>
      <c r="B45" s="99"/>
      <c r="C45" s="99"/>
      <c r="D45" s="99"/>
      <c r="E45" s="93">
        <f t="shared" si="1"/>
        <v>0</v>
      </c>
      <c r="F45" s="93">
        <f t="shared" si="0"/>
        <v>0</v>
      </c>
      <c r="G45" s="99"/>
      <c r="H45" s="20"/>
      <c r="I45" s="20"/>
      <c r="J45" s="96" t="s">
        <v>160</v>
      </c>
      <c r="K45" s="86"/>
      <c r="L45" s="86"/>
      <c r="M45" s="44">
        <f t="shared" si="8"/>
        <v>578.07000000000005</v>
      </c>
      <c r="N45" s="44" t="str">
        <f t="shared" si="6"/>
        <v>Cr</v>
      </c>
      <c r="O45" s="86"/>
      <c r="P45" s="86"/>
    </row>
    <row r="46" spans="1:16">
      <c r="A46" s="96" t="s">
        <v>161</v>
      </c>
      <c r="B46" s="44"/>
      <c r="C46" s="44"/>
      <c r="D46" s="44"/>
      <c r="E46" s="93">
        <f t="shared" si="1"/>
        <v>0</v>
      </c>
      <c r="F46" s="93">
        <f t="shared" si="0"/>
        <v>0</v>
      </c>
      <c r="G46" s="44"/>
      <c r="J46" s="96" t="s">
        <v>161</v>
      </c>
      <c r="K46" s="44"/>
      <c r="L46" s="44"/>
      <c r="M46" s="44">
        <f t="shared" si="8"/>
        <v>578.07000000000005</v>
      </c>
      <c r="N46" s="44" t="str">
        <f t="shared" si="6"/>
        <v>Cr</v>
      </c>
      <c r="O46" s="44"/>
      <c r="P46" s="44"/>
    </row>
    <row r="47" spans="1:16">
      <c r="A47" s="96" t="s">
        <v>162</v>
      </c>
      <c r="B47" s="44"/>
      <c r="C47" s="44"/>
      <c r="D47" s="44"/>
      <c r="E47" s="93">
        <f t="shared" si="1"/>
        <v>0</v>
      </c>
      <c r="F47" s="93">
        <f t="shared" si="0"/>
        <v>0</v>
      </c>
      <c r="G47" s="44"/>
      <c r="J47" s="96" t="s">
        <v>162</v>
      </c>
      <c r="K47" s="44"/>
      <c r="L47" s="44"/>
      <c r="M47" s="44">
        <f t="shared" si="8"/>
        <v>578.07000000000005</v>
      </c>
      <c r="N47" s="44" t="str">
        <f t="shared" si="6"/>
        <v>Cr</v>
      </c>
      <c r="O47" s="44"/>
      <c r="P47" s="44"/>
    </row>
    <row r="48" spans="1:16">
      <c r="A48" s="96" t="s">
        <v>163</v>
      </c>
      <c r="B48" s="44"/>
      <c r="C48" s="44"/>
      <c r="D48" s="44"/>
      <c r="E48" s="93">
        <f t="shared" si="1"/>
        <v>0</v>
      </c>
      <c r="F48" s="93">
        <f t="shared" si="0"/>
        <v>0</v>
      </c>
      <c r="G48" s="44"/>
      <c r="J48" s="96" t="s">
        <v>163</v>
      </c>
      <c r="K48" s="44"/>
      <c r="L48" s="44"/>
      <c r="M48" s="44">
        <f t="shared" si="8"/>
        <v>578.07000000000005</v>
      </c>
      <c r="N48" s="44" t="str">
        <f t="shared" si="6"/>
        <v>Cr</v>
      </c>
      <c r="O48" s="44"/>
      <c r="P48" s="44"/>
    </row>
    <row r="49" spans="1:16">
      <c r="A49" s="96" t="s">
        <v>164</v>
      </c>
      <c r="B49" s="71"/>
      <c r="C49" s="71"/>
      <c r="D49" s="71"/>
      <c r="E49" s="93">
        <f t="shared" si="1"/>
        <v>0</v>
      </c>
      <c r="F49" s="93">
        <f t="shared" si="0"/>
        <v>0</v>
      </c>
      <c r="G49" s="71"/>
      <c r="J49" s="96" t="s">
        <v>164</v>
      </c>
      <c r="K49" s="44"/>
      <c r="L49" s="44"/>
      <c r="M49" s="44">
        <f t="shared" si="8"/>
        <v>578.07000000000005</v>
      </c>
      <c r="N49" s="44" t="str">
        <f t="shared" si="6"/>
        <v>Cr</v>
      </c>
      <c r="O49" s="44"/>
      <c r="P49" s="44"/>
    </row>
    <row r="50" spans="1:16">
      <c r="A50" s="96" t="s">
        <v>165</v>
      </c>
      <c r="B50" s="44"/>
      <c r="C50" s="44"/>
      <c r="D50" s="44"/>
      <c r="E50" s="93">
        <f t="shared" si="1"/>
        <v>0</v>
      </c>
      <c r="F50" s="93">
        <f t="shared" si="0"/>
        <v>0</v>
      </c>
      <c r="G50" s="44"/>
      <c r="J50" s="96" t="s">
        <v>165</v>
      </c>
      <c r="K50" s="44"/>
      <c r="L50" s="44"/>
      <c r="M50" s="44">
        <f t="shared" si="8"/>
        <v>578.07000000000005</v>
      </c>
      <c r="N50" s="44" t="str">
        <f t="shared" si="6"/>
        <v>Cr</v>
      </c>
      <c r="O50" s="44"/>
      <c r="P50" s="44"/>
    </row>
    <row r="51" spans="1:16">
      <c r="A51" s="96" t="s">
        <v>166</v>
      </c>
      <c r="B51" s="44"/>
      <c r="C51" s="44"/>
      <c r="D51" s="44"/>
      <c r="E51" s="93">
        <f t="shared" si="1"/>
        <v>0</v>
      </c>
      <c r="F51" s="93">
        <f t="shared" si="0"/>
        <v>0</v>
      </c>
      <c r="G51" s="44"/>
      <c r="J51" s="96" t="s">
        <v>166</v>
      </c>
      <c r="K51" s="44"/>
      <c r="L51" s="44"/>
      <c r="M51" s="44">
        <f t="shared" si="8"/>
        <v>578.07000000000005</v>
      </c>
      <c r="N51" s="44" t="str">
        <f t="shared" si="6"/>
        <v>Cr</v>
      </c>
      <c r="O51" s="44"/>
      <c r="P51" s="44"/>
    </row>
    <row r="52" spans="1:16">
      <c r="A52" s="98" t="s">
        <v>167</v>
      </c>
      <c r="B52" s="185"/>
      <c r="C52" s="185"/>
      <c r="D52" s="185"/>
      <c r="E52" s="99">
        <f t="shared" si="1"/>
        <v>0</v>
      </c>
      <c r="F52" s="99">
        <f t="shared" si="0"/>
        <v>0</v>
      </c>
      <c r="G52" s="185"/>
      <c r="J52" s="98" t="s">
        <v>167</v>
      </c>
      <c r="K52" s="86"/>
      <c r="L52" s="86"/>
      <c r="M52" s="44">
        <f t="shared" si="8"/>
        <v>578.07000000000005</v>
      </c>
      <c r="N52" s="44" t="str">
        <f t="shared" si="6"/>
        <v>Cr</v>
      </c>
      <c r="O52" s="86"/>
      <c r="P52" s="86"/>
    </row>
    <row r="53" spans="1:16">
      <c r="A53" s="181" t="s">
        <v>168</v>
      </c>
      <c r="B53" s="87"/>
      <c r="C53" s="87"/>
      <c r="D53" s="87"/>
      <c r="E53" s="153">
        <f t="shared" si="1"/>
        <v>0</v>
      </c>
      <c r="F53" s="153">
        <f t="shared" si="0"/>
        <v>0</v>
      </c>
      <c r="G53" s="87"/>
      <c r="J53" s="181" t="s">
        <v>168</v>
      </c>
      <c r="K53" s="87"/>
      <c r="L53" s="87"/>
      <c r="M53" s="44">
        <f t="shared" si="8"/>
        <v>578.07000000000005</v>
      </c>
      <c r="N53" s="44" t="str">
        <f t="shared" si="6"/>
        <v>Cr</v>
      </c>
      <c r="O53" s="87"/>
      <c r="P53" s="87"/>
    </row>
    <row r="54" spans="1:16">
      <c r="A54" s="184"/>
      <c r="B54" s="20"/>
      <c r="C54" s="20"/>
      <c r="D54" s="20"/>
      <c r="E54" s="164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184"/>
      <c r="B55" s="20"/>
      <c r="C55" s="20"/>
      <c r="D55" s="20"/>
      <c r="E55" s="164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16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42" display="Bas35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66"/>
  <sheetViews>
    <sheetView zoomScaleNormal="100" workbookViewId="0">
      <selection activeCell="G5" sqref="G5"/>
    </sheetView>
  </sheetViews>
  <sheetFormatPr defaultColWidth="14.109375" defaultRowHeight="14.4"/>
  <cols>
    <col min="1" max="1" width="25" customWidth="1"/>
    <col min="2" max="2" width="7.6640625" customWidth="1"/>
    <col min="3" max="3" width="9.109375" customWidth="1"/>
    <col min="4" max="5" width="9" customWidth="1"/>
    <col min="6" max="7" width="15.6640625" customWidth="1"/>
    <col min="14" max="14" width="17" bestFit="1" customWidth="1"/>
    <col min="18" max="18" width="15.44140625" bestFit="1" customWidth="1"/>
    <col min="19" max="19" width="15.33203125" bestFit="1" customWidth="1"/>
    <col min="20" max="20" width="12.5546875" bestFit="1" customWidth="1"/>
    <col min="21" max="21" width="15.6640625" customWidth="1"/>
  </cols>
  <sheetData>
    <row r="2" spans="1:22" ht="28.8">
      <c r="B2" s="203" t="s">
        <v>103</v>
      </c>
      <c r="C2" s="203"/>
      <c r="D2" s="203"/>
      <c r="E2" s="203"/>
      <c r="F2" s="203"/>
      <c r="G2" s="203"/>
      <c r="L2" s="49" t="s">
        <v>104</v>
      </c>
    </row>
    <row r="3" spans="1:22">
      <c r="A3" s="50" t="s">
        <v>255</v>
      </c>
      <c r="B3" s="51"/>
      <c r="C3" s="51"/>
      <c r="F3" s="52" t="s">
        <v>106</v>
      </c>
      <c r="G3" s="53" t="s">
        <v>251</v>
      </c>
      <c r="H3" s="54"/>
    </row>
    <row r="5" spans="1:22">
      <c r="A5" s="50" t="s">
        <v>199</v>
      </c>
      <c r="B5" s="51"/>
      <c r="C5" s="51"/>
      <c r="D5" s="51"/>
      <c r="E5" s="51"/>
      <c r="F5" s="182" t="s">
        <v>18</v>
      </c>
      <c r="G5" s="175" t="s">
        <v>95</v>
      </c>
      <c r="L5" s="56"/>
    </row>
    <row r="7" spans="1:22" ht="18">
      <c r="A7" s="82" t="s">
        <v>109</v>
      </c>
      <c r="B7" s="82" t="s">
        <v>7</v>
      </c>
      <c r="C7" s="82" t="s">
        <v>8</v>
      </c>
      <c r="D7" s="82" t="s">
        <v>110</v>
      </c>
      <c r="E7" s="82" t="s">
        <v>111</v>
      </c>
      <c r="F7" s="82" t="s">
        <v>9</v>
      </c>
      <c r="G7" s="82" t="s">
        <v>112</v>
      </c>
      <c r="H7" s="58"/>
      <c r="I7" s="20"/>
      <c r="J7" s="57" t="s">
        <v>109</v>
      </c>
      <c r="K7" s="60" t="s">
        <v>114</v>
      </c>
      <c r="L7" s="60" t="s">
        <v>115</v>
      </c>
      <c r="M7" s="60" t="s">
        <v>116</v>
      </c>
      <c r="N7" s="60" t="s">
        <v>117</v>
      </c>
      <c r="O7" s="60" t="s">
        <v>201</v>
      </c>
      <c r="P7" s="60" t="s">
        <v>118</v>
      </c>
      <c r="R7" s="91" t="s">
        <v>21</v>
      </c>
      <c r="S7" s="91" t="s">
        <v>202</v>
      </c>
      <c r="T7" s="92" t="s">
        <v>203</v>
      </c>
      <c r="U7" s="91" t="s">
        <v>201</v>
      </c>
      <c r="V7" s="91"/>
    </row>
    <row r="8" spans="1:22" ht="18">
      <c r="A8" s="62" t="s">
        <v>119</v>
      </c>
      <c r="B8" s="24"/>
      <c r="C8" s="24"/>
      <c r="D8" s="24"/>
      <c r="E8" s="24">
        <f>(B8*6.5+C8*4)</f>
        <v>0</v>
      </c>
      <c r="F8" s="24">
        <f t="shared" ref="F8:F53" si="0">(B8*6.5+C8*4)*D8</f>
        <v>0</v>
      </c>
      <c r="G8" s="24"/>
      <c r="H8" s="20"/>
      <c r="I8" s="20"/>
      <c r="J8" s="62" t="s">
        <v>119</v>
      </c>
      <c r="K8" s="44"/>
      <c r="L8" s="65">
        <f>(F8)</f>
        <v>0</v>
      </c>
      <c r="M8" s="44">
        <f>(L8-K8)</f>
        <v>0</v>
      </c>
      <c r="N8" s="44" t="str">
        <f>IF(M8&lt;-1E-60,"Dr","Cr")</f>
        <v>Cr</v>
      </c>
      <c r="O8" s="44">
        <f>(D8)</f>
        <v>0</v>
      </c>
      <c r="P8" s="44"/>
      <c r="R8" s="44">
        <f>SUM(F8:F66)</f>
        <v>350.65499999999997</v>
      </c>
      <c r="S8" s="44">
        <f>SUM(K8:K46)</f>
        <v>0</v>
      </c>
      <c r="T8" s="44">
        <f>(R8-S8)</f>
        <v>350.65499999999997</v>
      </c>
      <c r="U8" s="44">
        <f>SUM(D8:D45)</f>
        <v>6.1</v>
      </c>
      <c r="V8" s="44"/>
    </row>
    <row r="9" spans="1:22">
      <c r="A9" s="62" t="s">
        <v>121</v>
      </c>
      <c r="B9" s="24"/>
      <c r="C9" s="24"/>
      <c r="D9" s="24"/>
      <c r="E9" s="24">
        <f t="shared" ref="E9:E53" si="1">(B9*6.5+C9*4)</f>
        <v>0</v>
      </c>
      <c r="F9" s="24">
        <f t="shared" si="0"/>
        <v>0</v>
      </c>
      <c r="G9" s="24"/>
      <c r="H9" s="20"/>
      <c r="I9" s="20"/>
      <c r="J9" s="62" t="s">
        <v>121</v>
      </c>
      <c r="K9" s="44"/>
      <c r="L9" s="44">
        <f t="shared" ref="L9:L23" si="2">(L8+F9)</f>
        <v>0</v>
      </c>
      <c r="M9" s="44">
        <f t="shared" ref="M9:M22" si="3">(M8+F9-K9)</f>
        <v>0</v>
      </c>
      <c r="N9" s="44" t="str">
        <f t="shared" ref="N9:N23" si="4">IF(M9&lt;-1E-60,"Dr","Cr")</f>
        <v>Cr</v>
      </c>
      <c r="O9" s="44">
        <f t="shared" ref="O9:O43" si="5">(O8+D9)</f>
        <v>0</v>
      </c>
      <c r="P9" s="44"/>
      <c r="R9" s="44"/>
      <c r="S9" s="44"/>
      <c r="T9" s="44"/>
      <c r="U9" s="44"/>
      <c r="V9" s="44"/>
    </row>
    <row r="10" spans="1:22">
      <c r="A10" s="62" t="s">
        <v>122</v>
      </c>
      <c r="B10" s="24"/>
      <c r="C10" s="24"/>
      <c r="D10" s="24"/>
      <c r="E10" s="24">
        <f t="shared" si="1"/>
        <v>0</v>
      </c>
      <c r="F10" s="24">
        <f t="shared" si="0"/>
        <v>0</v>
      </c>
      <c r="G10" s="24"/>
      <c r="H10" s="20"/>
      <c r="I10" s="20"/>
      <c r="J10" s="62" t="s">
        <v>122</v>
      </c>
      <c r="K10" s="44"/>
      <c r="L10" s="44">
        <f t="shared" si="2"/>
        <v>0</v>
      </c>
      <c r="M10" s="44">
        <f t="shared" si="3"/>
        <v>0</v>
      </c>
      <c r="N10" s="44" t="str">
        <f t="shared" si="4"/>
        <v>Cr</v>
      </c>
      <c r="O10" s="44">
        <f t="shared" si="5"/>
        <v>0</v>
      </c>
      <c r="P10" s="44"/>
      <c r="R10" s="44"/>
      <c r="S10" s="44"/>
      <c r="T10" s="44"/>
      <c r="U10" s="44"/>
      <c r="V10" s="44"/>
    </row>
    <row r="11" spans="1:22">
      <c r="A11" s="62" t="s">
        <v>123</v>
      </c>
      <c r="B11" s="24"/>
      <c r="C11" s="24"/>
      <c r="D11" s="24"/>
      <c r="E11" s="24">
        <f t="shared" si="1"/>
        <v>0</v>
      </c>
      <c r="F11" s="24">
        <f t="shared" si="0"/>
        <v>0</v>
      </c>
      <c r="G11" s="24"/>
      <c r="H11" s="20"/>
      <c r="I11" s="20"/>
      <c r="J11" s="62" t="s">
        <v>123</v>
      </c>
      <c r="K11" s="44"/>
      <c r="L11" s="44">
        <f t="shared" si="2"/>
        <v>0</v>
      </c>
      <c r="M11" s="44">
        <f t="shared" si="3"/>
        <v>0</v>
      </c>
      <c r="N11" s="44" t="str">
        <f t="shared" si="4"/>
        <v>Cr</v>
      </c>
      <c r="O11" s="44">
        <f t="shared" si="5"/>
        <v>0</v>
      </c>
      <c r="P11" s="44"/>
      <c r="R11" s="44"/>
      <c r="S11" s="44"/>
      <c r="T11" s="44"/>
      <c r="U11" s="44"/>
      <c r="V11" s="44"/>
    </row>
    <row r="12" spans="1:22">
      <c r="A12" s="96" t="s">
        <v>124</v>
      </c>
      <c r="B12" s="93"/>
      <c r="C12" s="93"/>
      <c r="D12" s="93"/>
      <c r="E12" s="24">
        <f t="shared" si="1"/>
        <v>0</v>
      </c>
      <c r="F12" s="93">
        <f t="shared" si="0"/>
        <v>0</v>
      </c>
      <c r="G12" s="93"/>
      <c r="H12" s="20"/>
      <c r="I12" s="20"/>
      <c r="J12" s="96" t="s">
        <v>124</v>
      </c>
      <c r="K12" s="44"/>
      <c r="L12" s="44">
        <f t="shared" si="2"/>
        <v>0</v>
      </c>
      <c r="M12" s="44">
        <f t="shared" si="3"/>
        <v>0</v>
      </c>
      <c r="N12" s="44" t="str">
        <f t="shared" si="4"/>
        <v>Cr</v>
      </c>
      <c r="O12" s="44">
        <f t="shared" si="5"/>
        <v>0</v>
      </c>
      <c r="P12" s="44"/>
      <c r="R12" s="44"/>
      <c r="S12" s="44"/>
      <c r="T12" s="44"/>
      <c r="U12" s="44"/>
      <c r="V12" s="44"/>
    </row>
    <row r="13" spans="1:22">
      <c r="A13" s="96" t="s">
        <v>125</v>
      </c>
      <c r="B13" s="93"/>
      <c r="C13" s="93"/>
      <c r="D13" s="93"/>
      <c r="E13" s="24">
        <f t="shared" si="1"/>
        <v>0</v>
      </c>
      <c r="F13" s="93">
        <f t="shared" si="0"/>
        <v>0</v>
      </c>
      <c r="G13" s="93"/>
      <c r="H13" s="20"/>
      <c r="I13" s="20"/>
      <c r="J13" s="96" t="s">
        <v>125</v>
      </c>
      <c r="K13" s="44"/>
      <c r="L13" s="44">
        <f t="shared" si="2"/>
        <v>0</v>
      </c>
      <c r="M13" s="44">
        <f t="shared" si="3"/>
        <v>0</v>
      </c>
      <c r="N13" s="44" t="str">
        <f t="shared" si="4"/>
        <v>Cr</v>
      </c>
      <c r="O13" s="44">
        <f t="shared" si="5"/>
        <v>0</v>
      </c>
      <c r="P13" s="44"/>
      <c r="R13" s="44"/>
      <c r="S13" s="44"/>
      <c r="T13" s="44"/>
      <c r="U13" s="44"/>
      <c r="V13" s="44"/>
    </row>
    <row r="14" spans="1:22">
      <c r="A14" s="96" t="s">
        <v>126</v>
      </c>
      <c r="B14" s="93"/>
      <c r="C14" s="93"/>
      <c r="D14" s="93"/>
      <c r="E14" s="24">
        <f t="shared" si="1"/>
        <v>0</v>
      </c>
      <c r="F14" s="93">
        <f t="shared" si="0"/>
        <v>0</v>
      </c>
      <c r="G14" s="93"/>
      <c r="H14" s="20"/>
      <c r="I14" s="20"/>
      <c r="J14" s="96" t="s">
        <v>126</v>
      </c>
      <c r="K14" s="44"/>
      <c r="L14" s="44">
        <f t="shared" si="2"/>
        <v>0</v>
      </c>
      <c r="M14" s="44">
        <f t="shared" si="3"/>
        <v>0</v>
      </c>
      <c r="N14" s="44" t="str">
        <f t="shared" si="4"/>
        <v>Cr</v>
      </c>
      <c r="O14" s="44">
        <f t="shared" si="5"/>
        <v>0</v>
      </c>
      <c r="P14" s="44"/>
      <c r="R14" s="44"/>
      <c r="S14" s="44"/>
      <c r="T14" s="44"/>
      <c r="U14" s="44"/>
      <c r="V14" s="44"/>
    </row>
    <row r="15" spans="1:22">
      <c r="A15" s="96" t="s">
        <v>128</v>
      </c>
      <c r="B15" s="93"/>
      <c r="C15" s="93"/>
      <c r="D15" s="93"/>
      <c r="E15" s="24">
        <f t="shared" si="1"/>
        <v>0</v>
      </c>
      <c r="F15" s="93">
        <f t="shared" si="0"/>
        <v>0</v>
      </c>
      <c r="G15" s="93"/>
      <c r="H15" s="20"/>
      <c r="I15" s="20"/>
      <c r="J15" s="96" t="s">
        <v>128</v>
      </c>
      <c r="K15" s="44"/>
      <c r="L15" s="44">
        <f t="shared" si="2"/>
        <v>0</v>
      </c>
      <c r="M15" s="44">
        <f t="shared" si="3"/>
        <v>0</v>
      </c>
      <c r="N15" s="44" t="str">
        <f t="shared" si="4"/>
        <v>Cr</v>
      </c>
      <c r="O15" s="44">
        <f t="shared" si="5"/>
        <v>0</v>
      </c>
      <c r="P15" s="44"/>
      <c r="R15" s="44"/>
      <c r="S15" s="44"/>
      <c r="T15" s="44"/>
      <c r="U15" s="44"/>
      <c r="V15" s="44"/>
    </row>
    <row r="16" spans="1:22">
      <c r="A16" s="96" t="s">
        <v>129</v>
      </c>
      <c r="B16" s="93"/>
      <c r="C16" s="93"/>
      <c r="D16" s="93"/>
      <c r="E16" s="24">
        <f t="shared" si="1"/>
        <v>0</v>
      </c>
      <c r="F16" s="93">
        <f t="shared" si="0"/>
        <v>0</v>
      </c>
      <c r="G16" s="93"/>
      <c r="H16" s="20"/>
      <c r="I16" s="20"/>
      <c r="J16" s="96" t="s">
        <v>129</v>
      </c>
      <c r="K16" s="44"/>
      <c r="L16" s="44">
        <f t="shared" si="2"/>
        <v>0</v>
      </c>
      <c r="M16" s="44">
        <f t="shared" si="3"/>
        <v>0</v>
      </c>
      <c r="N16" s="44" t="str">
        <f t="shared" si="4"/>
        <v>Cr</v>
      </c>
      <c r="O16" s="44">
        <f t="shared" si="5"/>
        <v>0</v>
      </c>
      <c r="P16" s="44"/>
      <c r="R16" s="44"/>
      <c r="S16" s="44"/>
      <c r="T16" s="44"/>
      <c r="U16" s="44"/>
      <c r="V16" s="44"/>
    </row>
    <row r="17" spans="1:22">
      <c r="A17" s="96" t="s">
        <v>130</v>
      </c>
      <c r="B17" s="93"/>
      <c r="C17" s="93"/>
      <c r="D17" s="93"/>
      <c r="E17" s="24">
        <f t="shared" si="1"/>
        <v>0</v>
      </c>
      <c r="F17" s="93">
        <f t="shared" si="0"/>
        <v>0</v>
      </c>
      <c r="G17" s="93"/>
      <c r="H17" s="20"/>
      <c r="I17" s="20"/>
      <c r="J17" s="96" t="s">
        <v>130</v>
      </c>
      <c r="K17" s="44"/>
      <c r="L17" s="44">
        <f t="shared" si="2"/>
        <v>0</v>
      </c>
      <c r="M17" s="44">
        <f t="shared" si="3"/>
        <v>0</v>
      </c>
      <c r="N17" s="44" t="str">
        <f t="shared" si="4"/>
        <v>Cr</v>
      </c>
      <c r="O17" s="44">
        <f t="shared" si="5"/>
        <v>0</v>
      </c>
      <c r="P17" s="44"/>
      <c r="R17" s="44"/>
      <c r="S17" s="44"/>
      <c r="T17" s="44"/>
      <c r="U17" s="44"/>
      <c r="V17" s="44"/>
    </row>
    <row r="18" spans="1:22">
      <c r="A18" s="96" t="s">
        <v>131</v>
      </c>
      <c r="B18" s="93"/>
      <c r="C18" s="93"/>
      <c r="D18" s="93"/>
      <c r="E18" s="24">
        <f t="shared" si="1"/>
        <v>0</v>
      </c>
      <c r="F18" s="93">
        <f t="shared" si="0"/>
        <v>0</v>
      </c>
      <c r="G18" s="93"/>
      <c r="H18" s="20"/>
      <c r="I18" s="20"/>
      <c r="J18" s="96" t="s">
        <v>131</v>
      </c>
      <c r="K18" s="44"/>
      <c r="L18" s="44">
        <f t="shared" si="2"/>
        <v>0</v>
      </c>
      <c r="M18" s="44">
        <f t="shared" si="3"/>
        <v>0</v>
      </c>
      <c r="N18" s="44" t="str">
        <f t="shared" si="4"/>
        <v>Cr</v>
      </c>
      <c r="O18" s="44">
        <f t="shared" si="5"/>
        <v>0</v>
      </c>
      <c r="P18" s="44"/>
    </row>
    <row r="19" spans="1:22">
      <c r="A19" s="96" t="s">
        <v>132</v>
      </c>
      <c r="B19" s="93"/>
      <c r="C19" s="93"/>
      <c r="D19" s="93"/>
      <c r="E19" s="24">
        <f t="shared" si="1"/>
        <v>0</v>
      </c>
      <c r="F19" s="93">
        <f t="shared" si="0"/>
        <v>0</v>
      </c>
      <c r="G19" s="93"/>
      <c r="H19" s="20"/>
      <c r="I19" s="20"/>
      <c r="J19" s="96" t="s">
        <v>132</v>
      </c>
      <c r="K19" s="44"/>
      <c r="L19" s="44">
        <f t="shared" si="2"/>
        <v>0</v>
      </c>
      <c r="M19" s="44">
        <f t="shared" si="3"/>
        <v>0</v>
      </c>
      <c r="N19" s="44" t="str">
        <f t="shared" si="4"/>
        <v>Cr</v>
      </c>
      <c r="O19" s="44">
        <f t="shared" si="5"/>
        <v>0</v>
      </c>
      <c r="P19" s="44"/>
    </row>
    <row r="20" spans="1:22">
      <c r="A20" s="96" t="s">
        <v>133</v>
      </c>
      <c r="B20" s="93"/>
      <c r="C20" s="93"/>
      <c r="D20" s="93"/>
      <c r="E20" s="24">
        <f t="shared" si="1"/>
        <v>0</v>
      </c>
      <c r="F20" s="93">
        <f t="shared" si="0"/>
        <v>0</v>
      </c>
      <c r="G20" s="93"/>
      <c r="H20" s="20"/>
      <c r="I20" s="20"/>
      <c r="J20" s="96" t="s">
        <v>133</v>
      </c>
      <c r="K20" s="44"/>
      <c r="L20" s="44">
        <f t="shared" si="2"/>
        <v>0</v>
      </c>
      <c r="M20" s="44">
        <f t="shared" si="3"/>
        <v>0</v>
      </c>
      <c r="N20" s="44" t="str">
        <f t="shared" si="4"/>
        <v>Cr</v>
      </c>
      <c r="O20" s="44">
        <f t="shared" si="5"/>
        <v>0</v>
      </c>
      <c r="P20" s="44"/>
    </row>
    <row r="21" spans="1:22">
      <c r="A21" s="96" t="s">
        <v>134</v>
      </c>
      <c r="B21" s="93"/>
      <c r="C21" s="93"/>
      <c r="D21" s="93"/>
      <c r="E21" s="24">
        <f t="shared" si="1"/>
        <v>0</v>
      </c>
      <c r="F21" s="93">
        <f t="shared" si="0"/>
        <v>0</v>
      </c>
      <c r="G21" s="93"/>
      <c r="H21" s="20"/>
      <c r="I21" s="20"/>
      <c r="J21" s="96" t="s">
        <v>134</v>
      </c>
      <c r="K21" s="44"/>
      <c r="L21" s="44">
        <f t="shared" si="2"/>
        <v>0</v>
      </c>
      <c r="M21" s="44">
        <f t="shared" si="3"/>
        <v>0</v>
      </c>
      <c r="N21" s="44" t="str">
        <f t="shared" si="4"/>
        <v>Cr</v>
      </c>
      <c r="O21" s="44">
        <f t="shared" si="5"/>
        <v>0</v>
      </c>
      <c r="P21" s="44"/>
    </row>
    <row r="22" spans="1:22">
      <c r="A22" s="96" t="s">
        <v>135</v>
      </c>
      <c r="B22" s="93"/>
      <c r="C22" s="93"/>
      <c r="D22" s="93"/>
      <c r="E22" s="24">
        <f t="shared" si="1"/>
        <v>0</v>
      </c>
      <c r="F22" s="93">
        <f t="shared" si="0"/>
        <v>0</v>
      </c>
      <c r="G22" s="93"/>
      <c r="H22" s="20"/>
      <c r="I22" s="20"/>
      <c r="J22" s="96" t="s">
        <v>135</v>
      </c>
      <c r="K22" s="44"/>
      <c r="L22" s="44">
        <f t="shared" si="2"/>
        <v>0</v>
      </c>
      <c r="M22" s="44">
        <f t="shared" si="3"/>
        <v>0</v>
      </c>
      <c r="N22" s="44" t="str">
        <f t="shared" si="4"/>
        <v>Cr</v>
      </c>
      <c r="O22" s="44">
        <f t="shared" si="5"/>
        <v>0</v>
      </c>
      <c r="P22" s="44"/>
    </row>
    <row r="23" spans="1:22">
      <c r="A23" s="96" t="s">
        <v>136</v>
      </c>
      <c r="B23" s="93"/>
      <c r="C23" s="93"/>
      <c r="D23" s="93"/>
      <c r="E23" s="24">
        <f t="shared" si="1"/>
        <v>0</v>
      </c>
      <c r="F23" s="93">
        <f t="shared" si="0"/>
        <v>0</v>
      </c>
      <c r="G23" s="93"/>
      <c r="H23" s="20"/>
      <c r="I23" s="20"/>
      <c r="J23" s="96" t="s">
        <v>136</v>
      </c>
      <c r="K23" s="44"/>
      <c r="L23" s="44">
        <f t="shared" si="2"/>
        <v>0</v>
      </c>
      <c r="M23" s="44">
        <f>(M22+F23-K23)</f>
        <v>0</v>
      </c>
      <c r="N23" s="44" t="str">
        <f t="shared" si="4"/>
        <v>Cr</v>
      </c>
      <c r="O23" s="44">
        <f t="shared" si="5"/>
        <v>0</v>
      </c>
      <c r="P23" s="44"/>
    </row>
    <row r="24" spans="1:22">
      <c r="A24" s="73" t="s">
        <v>138</v>
      </c>
      <c r="B24" s="75"/>
      <c r="C24" s="75"/>
      <c r="D24" s="75"/>
      <c r="E24" s="75">
        <f t="shared" si="1"/>
        <v>0</v>
      </c>
      <c r="F24" s="75">
        <f t="shared" si="0"/>
        <v>0</v>
      </c>
      <c r="G24" s="75"/>
      <c r="H24" s="20"/>
      <c r="I24" s="20"/>
      <c r="J24" s="73" t="s">
        <v>138</v>
      </c>
      <c r="K24" s="78"/>
      <c r="L24" s="78"/>
      <c r="M24" s="78">
        <f>(M23+F24-K24)</f>
        <v>0</v>
      </c>
      <c r="N24" s="78" t="str">
        <f>IF(M24&lt;-1E-60,"Dr","Cr")</f>
        <v>Cr</v>
      </c>
      <c r="O24" s="78">
        <f t="shared" si="5"/>
        <v>0</v>
      </c>
      <c r="P24" s="78"/>
    </row>
    <row r="25" spans="1:22">
      <c r="A25" s="96" t="s">
        <v>139</v>
      </c>
      <c r="B25" s="93"/>
      <c r="C25" s="93"/>
      <c r="D25" s="93"/>
      <c r="E25" s="24">
        <f t="shared" si="1"/>
        <v>0</v>
      </c>
      <c r="F25" s="93">
        <f t="shared" si="0"/>
        <v>0</v>
      </c>
      <c r="G25" s="93"/>
      <c r="H25" s="20"/>
      <c r="I25" s="20"/>
      <c r="J25" s="96" t="s">
        <v>139</v>
      </c>
      <c r="K25" s="44"/>
      <c r="L25" s="44"/>
      <c r="M25" s="44">
        <f>(M24+F25-K25)</f>
        <v>0</v>
      </c>
      <c r="N25" s="44" t="str">
        <f t="shared" ref="N25:N43" si="6">IF(M25&lt;-1E-60,"Dr","Cr")</f>
        <v>Cr</v>
      </c>
      <c r="O25" s="44">
        <f t="shared" si="5"/>
        <v>0</v>
      </c>
      <c r="P25" s="44"/>
    </row>
    <row r="26" spans="1:22">
      <c r="A26" s="96" t="s">
        <v>140</v>
      </c>
      <c r="B26" s="93"/>
      <c r="C26" s="93"/>
      <c r="D26" s="93"/>
      <c r="E26" s="24">
        <f t="shared" si="1"/>
        <v>0</v>
      </c>
      <c r="F26" s="93">
        <f t="shared" si="0"/>
        <v>0</v>
      </c>
      <c r="G26" s="93"/>
      <c r="H26" s="20"/>
      <c r="I26" s="20"/>
      <c r="J26" s="96" t="s">
        <v>140</v>
      </c>
      <c r="K26" s="44"/>
      <c r="L26" s="44"/>
      <c r="M26" s="44">
        <f t="shared" ref="M26" si="7">(M25+F26-K26)</f>
        <v>0</v>
      </c>
      <c r="N26" s="44" t="str">
        <f t="shared" si="6"/>
        <v>Cr</v>
      </c>
      <c r="O26" s="44">
        <f t="shared" si="5"/>
        <v>0</v>
      </c>
      <c r="P26" s="44"/>
    </row>
    <row r="27" spans="1:22">
      <c r="A27" s="96" t="s">
        <v>141</v>
      </c>
      <c r="B27" s="93"/>
      <c r="C27" s="93"/>
      <c r="D27" s="93"/>
      <c r="E27" s="24">
        <f t="shared" si="1"/>
        <v>0</v>
      </c>
      <c r="F27" s="93">
        <f t="shared" si="0"/>
        <v>0</v>
      </c>
      <c r="G27" s="93"/>
      <c r="H27" s="20"/>
      <c r="I27" s="20"/>
      <c r="J27" s="96" t="s">
        <v>141</v>
      </c>
      <c r="K27" s="44"/>
      <c r="L27" s="44"/>
      <c r="M27" s="44">
        <f t="shared" ref="M27:M53" si="8">(M26+F27-K27)</f>
        <v>0</v>
      </c>
      <c r="N27" s="44" t="str">
        <f t="shared" si="6"/>
        <v>Cr</v>
      </c>
      <c r="O27" s="44">
        <f t="shared" si="5"/>
        <v>0</v>
      </c>
      <c r="P27" s="44"/>
    </row>
    <row r="28" spans="1:22">
      <c r="A28" s="96" t="s">
        <v>142</v>
      </c>
      <c r="B28" s="93"/>
      <c r="C28" s="93"/>
      <c r="D28" s="93"/>
      <c r="E28" s="24">
        <f t="shared" si="1"/>
        <v>0</v>
      </c>
      <c r="F28" s="93">
        <f t="shared" si="0"/>
        <v>0</v>
      </c>
      <c r="G28" s="93"/>
      <c r="H28" s="20"/>
      <c r="I28" s="20"/>
      <c r="J28" s="96" t="s">
        <v>142</v>
      </c>
      <c r="K28" s="44"/>
      <c r="L28" s="44"/>
      <c r="M28" s="44">
        <f t="shared" si="8"/>
        <v>0</v>
      </c>
      <c r="N28" s="44" t="str">
        <f t="shared" si="6"/>
        <v>Cr</v>
      </c>
      <c r="O28" s="44">
        <f t="shared" si="5"/>
        <v>0</v>
      </c>
      <c r="P28" s="44"/>
    </row>
    <row r="29" spans="1:22">
      <c r="A29" s="96" t="s">
        <v>143</v>
      </c>
      <c r="B29" s="93"/>
      <c r="C29" s="93"/>
      <c r="D29" s="93"/>
      <c r="E29" s="24">
        <f t="shared" si="1"/>
        <v>0</v>
      </c>
      <c r="F29" s="93">
        <f t="shared" si="0"/>
        <v>0</v>
      </c>
      <c r="G29" s="93"/>
      <c r="H29" s="20"/>
      <c r="I29" s="20"/>
      <c r="J29" s="96" t="s">
        <v>143</v>
      </c>
      <c r="K29" s="44"/>
      <c r="L29" s="44"/>
      <c r="M29" s="44">
        <f t="shared" si="8"/>
        <v>0</v>
      </c>
      <c r="N29" s="44" t="str">
        <f t="shared" si="6"/>
        <v>Cr</v>
      </c>
      <c r="O29" s="44">
        <f t="shared" si="5"/>
        <v>0</v>
      </c>
      <c r="P29" s="44"/>
    </row>
    <row r="30" spans="1:22">
      <c r="A30" s="96" t="s">
        <v>144</v>
      </c>
      <c r="B30" s="93"/>
      <c r="C30" s="93"/>
      <c r="D30" s="93"/>
      <c r="E30" s="24">
        <f t="shared" si="1"/>
        <v>0</v>
      </c>
      <c r="F30" s="93">
        <f t="shared" si="0"/>
        <v>0</v>
      </c>
      <c r="G30" s="93"/>
      <c r="H30" s="20"/>
      <c r="I30" s="20"/>
      <c r="J30" s="96" t="s">
        <v>144</v>
      </c>
      <c r="K30" s="44"/>
      <c r="L30" s="44"/>
      <c r="M30" s="44">
        <f t="shared" si="8"/>
        <v>0</v>
      </c>
      <c r="N30" s="44" t="str">
        <f t="shared" si="6"/>
        <v>Cr</v>
      </c>
      <c r="O30" s="44">
        <f t="shared" si="5"/>
        <v>0</v>
      </c>
      <c r="P30" s="44"/>
    </row>
    <row r="31" spans="1:22">
      <c r="A31" s="96" t="s">
        <v>145</v>
      </c>
      <c r="B31" s="93"/>
      <c r="C31" s="93"/>
      <c r="D31" s="93"/>
      <c r="E31" s="24">
        <f t="shared" si="1"/>
        <v>0</v>
      </c>
      <c r="F31" s="93">
        <f t="shared" si="0"/>
        <v>0</v>
      </c>
      <c r="G31" s="93"/>
      <c r="H31" s="20"/>
      <c r="I31" s="20"/>
      <c r="J31" s="96" t="s">
        <v>145</v>
      </c>
      <c r="K31" s="44"/>
      <c r="L31" s="44"/>
      <c r="M31" s="44">
        <f t="shared" si="8"/>
        <v>0</v>
      </c>
      <c r="N31" s="44" t="str">
        <f t="shared" si="6"/>
        <v>Cr</v>
      </c>
      <c r="O31" s="44">
        <f t="shared" si="5"/>
        <v>0</v>
      </c>
      <c r="P31" s="44"/>
    </row>
    <row r="32" spans="1:22">
      <c r="A32" s="96" t="s">
        <v>146</v>
      </c>
      <c r="B32" s="93"/>
      <c r="C32" s="93"/>
      <c r="D32" s="93"/>
      <c r="E32" s="24">
        <f t="shared" si="1"/>
        <v>0</v>
      </c>
      <c r="F32" s="93">
        <f t="shared" si="0"/>
        <v>0</v>
      </c>
      <c r="G32" s="93"/>
      <c r="H32" s="20"/>
      <c r="I32" s="20"/>
      <c r="J32" s="96" t="s">
        <v>146</v>
      </c>
      <c r="K32" s="44"/>
      <c r="L32" s="44"/>
      <c r="M32" s="44">
        <f t="shared" si="8"/>
        <v>0</v>
      </c>
      <c r="N32" s="44" t="str">
        <f t="shared" si="6"/>
        <v>Cr</v>
      </c>
      <c r="O32" s="44">
        <f t="shared" si="5"/>
        <v>0</v>
      </c>
      <c r="P32" s="44"/>
    </row>
    <row r="33" spans="1:16">
      <c r="A33" s="96" t="s">
        <v>147</v>
      </c>
      <c r="B33" s="93"/>
      <c r="C33" s="93"/>
      <c r="D33" s="93"/>
      <c r="E33" s="24">
        <f t="shared" si="1"/>
        <v>0</v>
      </c>
      <c r="F33" s="93">
        <f t="shared" si="0"/>
        <v>0</v>
      </c>
      <c r="G33" s="93"/>
      <c r="H33" s="20"/>
      <c r="I33" s="20"/>
      <c r="J33" s="96" t="s">
        <v>147</v>
      </c>
      <c r="K33" s="44"/>
      <c r="L33" s="44"/>
      <c r="M33" s="44">
        <f>(M32+F33-K33)</f>
        <v>0</v>
      </c>
      <c r="N33" s="44" t="str">
        <f t="shared" si="6"/>
        <v>Cr</v>
      </c>
      <c r="O33" s="44">
        <f t="shared" si="5"/>
        <v>0</v>
      </c>
      <c r="P33" s="44"/>
    </row>
    <row r="34" spans="1:16">
      <c r="A34" s="96" t="s">
        <v>148</v>
      </c>
      <c r="B34" s="93"/>
      <c r="C34" s="93"/>
      <c r="D34" s="93"/>
      <c r="E34" s="24">
        <f t="shared" si="1"/>
        <v>0</v>
      </c>
      <c r="F34" s="93">
        <f t="shared" si="0"/>
        <v>0</v>
      </c>
      <c r="G34" s="93"/>
      <c r="H34" s="20"/>
      <c r="I34" s="20"/>
      <c r="J34" s="96" t="s">
        <v>148</v>
      </c>
      <c r="K34" s="44"/>
      <c r="L34" s="44"/>
      <c r="M34" s="44">
        <f t="shared" si="8"/>
        <v>0</v>
      </c>
      <c r="N34" s="44" t="str">
        <f t="shared" si="6"/>
        <v>Cr</v>
      </c>
      <c r="O34" s="44">
        <f t="shared" si="5"/>
        <v>0</v>
      </c>
      <c r="P34" s="44"/>
    </row>
    <row r="35" spans="1:16">
      <c r="A35" s="96" t="s">
        <v>149</v>
      </c>
      <c r="B35" s="93"/>
      <c r="C35" s="93"/>
      <c r="D35" s="93"/>
      <c r="E35" s="24">
        <f t="shared" si="1"/>
        <v>0</v>
      </c>
      <c r="F35" s="93">
        <f t="shared" si="0"/>
        <v>0</v>
      </c>
      <c r="G35" s="93"/>
      <c r="H35" s="20"/>
      <c r="I35" s="20"/>
      <c r="J35" s="96" t="s">
        <v>149</v>
      </c>
      <c r="K35" s="44"/>
      <c r="L35" s="44"/>
      <c r="M35" s="44">
        <f t="shared" si="8"/>
        <v>0</v>
      </c>
      <c r="N35" s="44" t="str">
        <f t="shared" si="6"/>
        <v>Cr</v>
      </c>
      <c r="O35" s="44">
        <f t="shared" si="5"/>
        <v>0</v>
      </c>
      <c r="P35" s="44"/>
    </row>
    <row r="36" spans="1:16">
      <c r="A36" s="96" t="s">
        <v>150</v>
      </c>
      <c r="B36" s="93"/>
      <c r="C36" s="93"/>
      <c r="D36" s="93"/>
      <c r="E36" s="24">
        <f t="shared" si="1"/>
        <v>0</v>
      </c>
      <c r="F36" s="93">
        <f t="shared" si="0"/>
        <v>0</v>
      </c>
      <c r="G36" s="93"/>
      <c r="H36" s="20"/>
      <c r="I36" s="20"/>
      <c r="J36" s="96" t="s">
        <v>150</v>
      </c>
      <c r="K36" s="44"/>
      <c r="L36" s="44"/>
      <c r="M36" s="44">
        <f t="shared" si="8"/>
        <v>0</v>
      </c>
      <c r="N36" s="44" t="str">
        <f t="shared" si="6"/>
        <v>Cr</v>
      </c>
      <c r="O36" s="44">
        <f t="shared" si="5"/>
        <v>0</v>
      </c>
      <c r="P36" s="44"/>
    </row>
    <row r="37" spans="1:16">
      <c r="A37" s="96" t="s">
        <v>151</v>
      </c>
      <c r="B37" s="93"/>
      <c r="C37" s="93"/>
      <c r="D37" s="93"/>
      <c r="E37" s="24">
        <f t="shared" si="1"/>
        <v>0</v>
      </c>
      <c r="F37" s="93">
        <f t="shared" si="0"/>
        <v>0</v>
      </c>
      <c r="G37" s="93"/>
      <c r="H37" s="20"/>
      <c r="I37" s="20"/>
      <c r="J37" s="96" t="s">
        <v>151</v>
      </c>
      <c r="K37" s="44"/>
      <c r="L37" s="44"/>
      <c r="M37" s="44">
        <f t="shared" si="8"/>
        <v>0</v>
      </c>
      <c r="N37" s="44" t="str">
        <f t="shared" si="6"/>
        <v>Cr</v>
      </c>
      <c r="O37" s="44">
        <f t="shared" si="5"/>
        <v>0</v>
      </c>
      <c r="P37" s="44"/>
    </row>
    <row r="38" spans="1:16">
      <c r="A38" s="96" t="s">
        <v>152</v>
      </c>
      <c r="B38" s="93"/>
      <c r="C38" s="93"/>
      <c r="D38" s="93"/>
      <c r="E38" s="24">
        <f t="shared" si="1"/>
        <v>0</v>
      </c>
      <c r="F38" s="93">
        <f t="shared" si="0"/>
        <v>0</v>
      </c>
      <c r="G38" s="93"/>
      <c r="H38" s="20"/>
      <c r="I38" s="20"/>
      <c r="J38" s="96" t="s">
        <v>152</v>
      </c>
      <c r="K38" s="44"/>
      <c r="L38" s="44"/>
      <c r="M38" s="44">
        <f t="shared" si="8"/>
        <v>0</v>
      </c>
      <c r="N38" s="44" t="str">
        <f t="shared" si="6"/>
        <v>Cr</v>
      </c>
      <c r="O38" s="44">
        <f t="shared" si="5"/>
        <v>0</v>
      </c>
      <c r="P38" s="44"/>
    </row>
    <row r="39" spans="1:16">
      <c r="A39" s="96" t="s">
        <v>153</v>
      </c>
      <c r="B39" s="93"/>
      <c r="C39" s="93"/>
      <c r="D39" s="93"/>
      <c r="E39" s="93">
        <f t="shared" si="1"/>
        <v>0</v>
      </c>
      <c r="F39" s="93">
        <f t="shared" si="0"/>
        <v>0</v>
      </c>
      <c r="G39" s="93"/>
      <c r="H39" s="20"/>
      <c r="I39" s="20"/>
      <c r="J39" s="96" t="s">
        <v>153</v>
      </c>
      <c r="K39" s="44"/>
      <c r="L39" s="44"/>
      <c r="M39" s="44">
        <f t="shared" si="8"/>
        <v>0</v>
      </c>
      <c r="N39" s="44" t="str">
        <f t="shared" si="6"/>
        <v>Cr</v>
      </c>
      <c r="O39" s="44">
        <f t="shared" si="5"/>
        <v>0</v>
      </c>
      <c r="P39" s="44"/>
    </row>
    <row r="40" spans="1:16">
      <c r="A40" s="96" t="s">
        <v>154</v>
      </c>
      <c r="B40" s="93"/>
      <c r="C40" s="93"/>
      <c r="D40" s="93"/>
      <c r="E40" s="93">
        <f t="shared" si="1"/>
        <v>0</v>
      </c>
      <c r="F40" s="93">
        <f t="shared" si="0"/>
        <v>0</v>
      </c>
      <c r="G40" s="93"/>
      <c r="H40" s="20"/>
      <c r="I40" s="20"/>
      <c r="J40" s="96" t="s">
        <v>154</v>
      </c>
      <c r="K40" s="155"/>
      <c r="L40" s="44"/>
      <c r="M40" s="44">
        <f t="shared" si="8"/>
        <v>0</v>
      </c>
      <c r="N40" s="44" t="str">
        <f t="shared" si="6"/>
        <v>Cr</v>
      </c>
      <c r="O40" s="44">
        <f t="shared" si="5"/>
        <v>0</v>
      </c>
      <c r="P40" s="44"/>
    </row>
    <row r="41" spans="1:16">
      <c r="A41" s="96" t="s">
        <v>156</v>
      </c>
      <c r="B41" s="93">
        <v>4.7</v>
      </c>
      <c r="C41" s="93">
        <v>6.2</v>
      </c>
      <c r="D41" s="93">
        <v>3</v>
      </c>
      <c r="E41" s="93">
        <f t="shared" si="1"/>
        <v>55.35</v>
      </c>
      <c r="F41" s="93">
        <f t="shared" si="0"/>
        <v>166.05</v>
      </c>
      <c r="G41" s="93"/>
      <c r="H41" s="20"/>
      <c r="I41" s="20"/>
      <c r="J41" s="96" t="s">
        <v>156</v>
      </c>
      <c r="K41" s="44"/>
      <c r="L41" s="161"/>
      <c r="M41" s="44">
        <f t="shared" si="8"/>
        <v>166.05</v>
      </c>
      <c r="N41" s="44" t="str">
        <f t="shared" si="6"/>
        <v>Cr</v>
      </c>
      <c r="O41" s="44">
        <f t="shared" si="5"/>
        <v>3</v>
      </c>
      <c r="P41" s="44"/>
    </row>
    <row r="42" spans="1:16">
      <c r="A42" s="96" t="s">
        <v>157</v>
      </c>
      <c r="B42" s="93">
        <v>5.0999999999999996</v>
      </c>
      <c r="C42" s="93">
        <v>6.6</v>
      </c>
      <c r="D42" s="93">
        <v>3.1</v>
      </c>
      <c r="E42" s="24">
        <f t="shared" si="1"/>
        <v>59.55</v>
      </c>
      <c r="F42" s="93">
        <f t="shared" si="0"/>
        <v>184.60499999999999</v>
      </c>
      <c r="G42" s="93"/>
      <c r="H42" s="20"/>
      <c r="I42" s="20"/>
      <c r="J42" s="96" t="s">
        <v>157</v>
      </c>
      <c r="K42" s="44"/>
      <c r="L42" s="44"/>
      <c r="M42" s="44">
        <f t="shared" si="8"/>
        <v>350.65499999999997</v>
      </c>
      <c r="N42" s="44" t="str">
        <f t="shared" si="6"/>
        <v>Cr</v>
      </c>
      <c r="O42" s="44">
        <f t="shared" si="5"/>
        <v>6.1</v>
      </c>
      <c r="P42" s="44"/>
    </row>
    <row r="43" spans="1:16">
      <c r="A43" s="96" t="s">
        <v>158</v>
      </c>
      <c r="B43" s="93"/>
      <c r="C43" s="93"/>
      <c r="D43" s="93"/>
      <c r="E43" s="93">
        <f t="shared" si="1"/>
        <v>0</v>
      </c>
      <c r="F43" s="93">
        <f t="shared" si="0"/>
        <v>0</v>
      </c>
      <c r="G43" s="93"/>
      <c r="H43" s="20"/>
      <c r="I43" s="20"/>
      <c r="J43" s="96" t="s">
        <v>158</v>
      </c>
      <c r="K43" s="71"/>
      <c r="L43" s="71"/>
      <c r="M43" s="44">
        <f t="shared" si="8"/>
        <v>350.65499999999997</v>
      </c>
      <c r="N43" s="44" t="str">
        <f t="shared" si="6"/>
        <v>Cr</v>
      </c>
      <c r="O43" s="44">
        <f t="shared" si="5"/>
        <v>6.1</v>
      </c>
      <c r="P43" s="71"/>
    </row>
    <row r="44" spans="1:16">
      <c r="A44" s="96" t="s">
        <v>159</v>
      </c>
      <c r="B44" s="93"/>
      <c r="C44" s="93"/>
      <c r="D44" s="93"/>
      <c r="E44" s="93">
        <f t="shared" si="1"/>
        <v>0</v>
      </c>
      <c r="F44" s="93">
        <f t="shared" si="0"/>
        <v>0</v>
      </c>
      <c r="G44" s="93"/>
      <c r="H44" s="20"/>
      <c r="I44" s="20"/>
      <c r="J44" s="96" t="s">
        <v>159</v>
      </c>
      <c r="K44" s="44"/>
      <c r="L44" s="44"/>
      <c r="M44" s="44">
        <f t="shared" si="8"/>
        <v>350.65499999999997</v>
      </c>
      <c r="N44" s="44"/>
      <c r="O44" s="44"/>
      <c r="P44" s="44"/>
    </row>
    <row r="45" spans="1:16">
      <c r="A45" s="96" t="s">
        <v>160</v>
      </c>
      <c r="B45" s="99"/>
      <c r="C45" s="99"/>
      <c r="D45" s="99"/>
      <c r="E45" s="93">
        <f t="shared" si="1"/>
        <v>0</v>
      </c>
      <c r="F45" s="93">
        <f t="shared" si="0"/>
        <v>0</v>
      </c>
      <c r="G45" s="99"/>
      <c r="H45" s="20"/>
      <c r="I45" s="20"/>
      <c r="J45" s="96" t="s">
        <v>160</v>
      </c>
      <c r="K45" s="86"/>
      <c r="L45" s="86"/>
      <c r="M45" s="44">
        <f t="shared" si="8"/>
        <v>350.65499999999997</v>
      </c>
      <c r="N45" s="86"/>
      <c r="O45" s="86"/>
      <c r="P45" s="86"/>
    </row>
    <row r="46" spans="1:16">
      <c r="A46" s="96" t="s">
        <v>161</v>
      </c>
      <c r="B46" s="44"/>
      <c r="C46" s="44"/>
      <c r="D46" s="44"/>
      <c r="E46" s="93">
        <f t="shared" si="1"/>
        <v>0</v>
      </c>
      <c r="F46" s="93">
        <f t="shared" si="0"/>
        <v>0</v>
      </c>
      <c r="G46" s="44"/>
      <c r="J46" s="96" t="s">
        <v>161</v>
      </c>
      <c r="K46" s="44"/>
      <c r="L46" s="44"/>
      <c r="M46" s="44">
        <f t="shared" si="8"/>
        <v>350.65499999999997</v>
      </c>
      <c r="N46" s="44"/>
      <c r="O46" s="44"/>
      <c r="P46" s="44"/>
    </row>
    <row r="47" spans="1:16">
      <c r="A47" s="96" t="s">
        <v>162</v>
      </c>
      <c r="B47" s="44"/>
      <c r="C47" s="44"/>
      <c r="D47" s="44"/>
      <c r="E47" s="93">
        <f t="shared" si="1"/>
        <v>0</v>
      </c>
      <c r="F47" s="93">
        <f t="shared" si="0"/>
        <v>0</v>
      </c>
      <c r="G47" s="44"/>
      <c r="J47" s="96" t="s">
        <v>162</v>
      </c>
      <c r="K47" s="44"/>
      <c r="L47" s="44"/>
      <c r="M47" s="44">
        <f t="shared" si="8"/>
        <v>350.65499999999997</v>
      </c>
      <c r="N47" s="44"/>
      <c r="O47" s="44"/>
      <c r="P47" s="44"/>
    </row>
    <row r="48" spans="1:16">
      <c r="A48" s="96" t="s">
        <v>163</v>
      </c>
      <c r="B48" s="44"/>
      <c r="C48" s="44"/>
      <c r="D48" s="44"/>
      <c r="E48" s="93">
        <f t="shared" si="1"/>
        <v>0</v>
      </c>
      <c r="F48" s="93">
        <f t="shared" si="0"/>
        <v>0</v>
      </c>
      <c r="G48" s="44"/>
      <c r="J48" s="96" t="s">
        <v>163</v>
      </c>
      <c r="K48" s="44"/>
      <c r="L48" s="44"/>
      <c r="M48" s="44">
        <f t="shared" si="8"/>
        <v>350.65499999999997</v>
      </c>
      <c r="N48" s="44"/>
      <c r="O48" s="44"/>
      <c r="P48" s="44"/>
    </row>
    <row r="49" spans="1:16">
      <c r="A49" s="96" t="s">
        <v>164</v>
      </c>
      <c r="B49" s="71"/>
      <c r="C49" s="71"/>
      <c r="D49" s="71"/>
      <c r="E49" s="93">
        <f t="shared" si="1"/>
        <v>0</v>
      </c>
      <c r="F49" s="93">
        <f t="shared" si="0"/>
        <v>0</v>
      </c>
      <c r="G49" s="71"/>
      <c r="J49" s="96" t="s">
        <v>164</v>
      </c>
      <c r="K49" s="44"/>
      <c r="L49" s="44"/>
      <c r="M49" s="44">
        <f t="shared" si="8"/>
        <v>350.65499999999997</v>
      </c>
      <c r="N49" s="44"/>
      <c r="O49" s="44"/>
      <c r="P49" s="44"/>
    </row>
    <row r="50" spans="1:16">
      <c r="A50" s="96" t="s">
        <v>165</v>
      </c>
      <c r="B50" s="44"/>
      <c r="C50" s="44"/>
      <c r="D50" s="44"/>
      <c r="E50" s="93">
        <f t="shared" si="1"/>
        <v>0</v>
      </c>
      <c r="F50" s="93">
        <f t="shared" si="0"/>
        <v>0</v>
      </c>
      <c r="G50" s="44"/>
      <c r="J50" s="96" t="s">
        <v>165</v>
      </c>
      <c r="K50" s="44"/>
      <c r="L50" s="44"/>
      <c r="M50" s="44">
        <f t="shared" si="8"/>
        <v>350.65499999999997</v>
      </c>
      <c r="N50" s="44"/>
      <c r="O50" s="44"/>
      <c r="P50" s="44"/>
    </row>
    <row r="51" spans="1:16">
      <c r="A51" s="96" t="s">
        <v>166</v>
      </c>
      <c r="B51" s="44"/>
      <c r="C51" s="44"/>
      <c r="D51" s="44"/>
      <c r="E51" s="93">
        <f t="shared" si="1"/>
        <v>0</v>
      </c>
      <c r="F51" s="93">
        <f t="shared" si="0"/>
        <v>0</v>
      </c>
      <c r="G51" s="44"/>
      <c r="J51" s="96" t="s">
        <v>166</v>
      </c>
      <c r="K51" s="44"/>
      <c r="L51" s="44"/>
      <c r="M51" s="44">
        <f t="shared" si="8"/>
        <v>350.65499999999997</v>
      </c>
      <c r="N51" s="44"/>
      <c r="O51" s="44"/>
      <c r="P51" s="44"/>
    </row>
    <row r="52" spans="1:16">
      <c r="A52" s="98" t="s">
        <v>167</v>
      </c>
      <c r="B52" s="185"/>
      <c r="C52" s="185"/>
      <c r="D52" s="185"/>
      <c r="E52" s="99">
        <f t="shared" si="1"/>
        <v>0</v>
      </c>
      <c r="F52" s="99">
        <f t="shared" si="0"/>
        <v>0</v>
      </c>
      <c r="G52" s="185"/>
      <c r="J52" s="98" t="s">
        <v>167</v>
      </c>
      <c r="K52" s="86"/>
      <c r="L52" s="86"/>
      <c r="M52" s="44">
        <f t="shared" si="8"/>
        <v>350.65499999999997</v>
      </c>
      <c r="N52" s="86"/>
      <c r="O52" s="86"/>
      <c r="P52" s="86"/>
    </row>
    <row r="53" spans="1:16">
      <c r="A53" s="181" t="s">
        <v>168</v>
      </c>
      <c r="B53" s="87"/>
      <c r="C53" s="87"/>
      <c r="D53" s="87"/>
      <c r="E53" s="153">
        <f t="shared" si="1"/>
        <v>0</v>
      </c>
      <c r="F53" s="153">
        <f t="shared" si="0"/>
        <v>0</v>
      </c>
      <c r="G53" s="87"/>
      <c r="J53" s="181" t="s">
        <v>168</v>
      </c>
      <c r="K53" s="87"/>
      <c r="L53" s="87"/>
      <c r="M53" s="44">
        <f t="shared" si="8"/>
        <v>350.65499999999997</v>
      </c>
      <c r="N53" s="87"/>
      <c r="O53" s="87"/>
      <c r="P53" s="87"/>
    </row>
    <row r="54" spans="1:16">
      <c r="A54" s="184"/>
      <c r="B54" s="20"/>
      <c r="C54" s="20"/>
      <c r="D54" s="20"/>
      <c r="E54" s="164"/>
      <c r="F54" s="164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184"/>
      <c r="B55" s="20"/>
      <c r="C55" s="20"/>
      <c r="D55" s="20"/>
      <c r="E55" s="164"/>
      <c r="F55" s="164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83"/>
      <c r="B56" s="20"/>
      <c r="C56" s="20"/>
      <c r="D56" s="20"/>
      <c r="E56" s="164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8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8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8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8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8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8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8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8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8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8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</sheetData>
  <mergeCells count="1">
    <mergeCell ref="B2:G2"/>
  </mergeCells>
  <hyperlinks>
    <hyperlink ref="F5" location="'Customer Index'!A8" display="Customer Code"/>
    <hyperlink ref="G5" location="'Customer Index'!A43" display="Bas36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Sheet1</vt:lpstr>
      <vt:lpstr>Customer Index</vt:lpstr>
      <vt:lpstr>Sheet3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Yadav</dc:creator>
  <cp:lastModifiedBy>Krishna Yadav</cp:lastModifiedBy>
  <cp:lastPrinted>2024-12-04T10:33:41Z</cp:lastPrinted>
  <dcterms:created xsi:type="dcterms:W3CDTF">2024-11-27T09:14:43Z</dcterms:created>
  <dcterms:modified xsi:type="dcterms:W3CDTF">2025-01-13T21:20:59Z</dcterms:modified>
</cp:coreProperties>
</file>